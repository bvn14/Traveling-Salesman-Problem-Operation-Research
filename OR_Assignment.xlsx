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nak\OneDrive\Desktop\Operations Research\"/>
    </mc:Choice>
  </mc:AlternateContent>
  <bookViews>
    <workbookView xWindow="0" yWindow="0" windowWidth="23040" windowHeight="8496" activeTab="2"/>
  </bookViews>
  <sheets>
    <sheet name="Data" sheetId="6" r:id="rId1"/>
    <sheet name="Workings" sheetId="3" r:id="rId2"/>
    <sheet name="Final answer" sheetId="8" r:id="rId3"/>
  </sheets>
  <definedNames>
    <definedName name="solver_adj" localSheetId="1" hidden="1">Workings!$C$45:$W$45</definedName>
    <definedName name="solver_cvg" localSheetId="1" hidden="1">0.0001</definedName>
    <definedName name="solver_drv" localSheetId="1" hidden="1">1</definedName>
    <definedName name="solver_eng" localSheetId="1" hidden="1">3</definedName>
    <definedName name="solver_est" localSheetId="1" hidden="1">1</definedName>
    <definedName name="solver_itr" localSheetId="1" hidden="1">2147483647</definedName>
    <definedName name="solver_lhs1" localSheetId="1" hidden="1">Workings!$C$45:$W$45</definedName>
    <definedName name="solver_lhs2" localSheetId="1" hidden="1">Workings!$C$52</definedName>
    <definedName name="solver_lhs3" localSheetId="1" hidden="1">Workings!$D$40</definedName>
    <definedName name="solver_mip" localSheetId="1" hidden="1">2147483647</definedName>
    <definedName name="solver_mni" localSheetId="1" hidden="1">45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Workings!$C$50</definedName>
    <definedName name="solver_pre" localSheetId="1" hidden="1">0.000001</definedName>
    <definedName name="solver_rbv" localSheetId="1" hidden="1">1</definedName>
    <definedName name="solver_rel1" localSheetId="1" hidden="1">6</definedName>
    <definedName name="solver_rel2" localSheetId="1" hidden="1">2</definedName>
    <definedName name="solver_rel3" localSheetId="1" hidden="1">2</definedName>
    <definedName name="solver_rhs1" localSheetId="1" hidden="1">"AllDifferent"</definedName>
    <definedName name="solver_rhs2" localSheetId="1" hidden="1">1</definedName>
    <definedName name="solver_rhs3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8" l="1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N10" i="8"/>
  <c r="D23" i="6" l="1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29" i="3" l="1"/>
  <c r="E28" i="3" a="1"/>
  <c r="E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 s="1"/>
  <c r="S28" i="3" a="1"/>
  <c r="S28" i="3" s="1"/>
  <c r="T28" i="3" a="1"/>
  <c r="T28" i="3" s="1"/>
  <c r="U28" i="3" a="1"/>
  <c r="U28" i="3" s="1"/>
  <c r="V28" i="3" a="1"/>
  <c r="V28" i="3" s="1"/>
  <c r="W28" i="3" a="1"/>
  <c r="W28" i="3" s="1"/>
  <c r="X28" i="3" a="1"/>
  <c r="X28" i="3" s="1"/>
  <c r="Y28" i="3" a="1"/>
  <c r="Y28" i="3" s="1"/>
  <c r="F28" i="3" a="1"/>
  <c r="F28" i="3" s="1"/>
  <c r="D33" i="3"/>
  <c r="C52" i="3"/>
  <c r="C46" i="3" a="1"/>
  <c r="C46" i="3" s="1"/>
  <c r="E46" i="3" a="1"/>
  <c r="E46" i="3" s="1"/>
  <c r="F46" i="3" a="1"/>
  <c r="F46" i="3" s="1"/>
  <c r="G46" i="3" a="1"/>
  <c r="G46" i="3" s="1"/>
  <c r="H46" i="3" a="1"/>
  <c r="H46" i="3" s="1"/>
  <c r="I46" i="3" a="1"/>
  <c r="I46" i="3" s="1"/>
  <c r="J46" i="3" a="1"/>
  <c r="J46" i="3" s="1"/>
  <c r="K46" i="3" a="1"/>
  <c r="K46" i="3" s="1"/>
  <c r="L46" i="3" a="1"/>
  <c r="L46" i="3" s="1"/>
  <c r="M46" i="3" a="1"/>
  <c r="M46" i="3" s="1"/>
  <c r="N46" i="3" a="1"/>
  <c r="N46" i="3" s="1"/>
  <c r="O46" i="3" a="1"/>
  <c r="O46" i="3" s="1"/>
  <c r="P46" i="3" a="1"/>
  <c r="P46" i="3" s="1"/>
  <c r="Q46" i="3" a="1"/>
  <c r="Q46" i="3" s="1"/>
  <c r="R46" i="3" a="1"/>
  <c r="R46" i="3" s="1"/>
  <c r="S46" i="3" a="1"/>
  <c r="S46" i="3" s="1"/>
  <c r="T46" i="3" a="1"/>
  <c r="T46" i="3" s="1"/>
  <c r="U46" i="3" a="1"/>
  <c r="U46" i="3" s="1"/>
  <c r="V46" i="3" a="1"/>
  <c r="V46" i="3" s="1"/>
  <c r="W46" i="3" a="1"/>
  <c r="W46" i="3" s="1"/>
  <c r="D46" i="3" a="1"/>
  <c r="D46" i="3" s="1"/>
  <c r="D25" i="3" a="1"/>
  <c r="D25" i="3" s="1"/>
  <c r="C25" i="3" a="1"/>
  <c r="C25" i="3" s="1"/>
  <c r="E25" i="3" a="1"/>
  <c r="E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 s="1"/>
  <c r="P25" i="3" a="1"/>
  <c r="P25" i="3" s="1"/>
  <c r="Q25" i="3" a="1"/>
  <c r="Q25" i="3" s="1"/>
  <c r="R25" i="3" a="1"/>
  <c r="R25" i="3" s="1"/>
  <c r="S25" i="3" a="1"/>
  <c r="S25" i="3" s="1"/>
  <c r="T25" i="3" a="1"/>
  <c r="T25" i="3" s="1"/>
  <c r="U25" i="3" a="1"/>
  <c r="U25" i="3" s="1"/>
  <c r="V25" i="3" a="1"/>
  <c r="V25" i="3" s="1"/>
  <c r="W25" i="3" a="1"/>
  <c r="W25" i="3" s="1"/>
  <c r="C36" i="3" a="1"/>
  <c r="C36" i="3" s="1"/>
  <c r="D40" i="3"/>
  <c r="C34" i="3"/>
  <c r="AA2" i="3"/>
  <c r="Y22" i="3"/>
  <c r="W33" i="3" s="1"/>
  <c r="Y21" i="3"/>
  <c r="V33" i="3" s="1"/>
  <c r="Y20" i="3"/>
  <c r="U33" i="3" s="1"/>
  <c r="Y19" i="3"/>
  <c r="T33" i="3" s="1"/>
  <c r="Y18" i="3"/>
  <c r="S33" i="3" s="1"/>
  <c r="Y17" i="3"/>
  <c r="R33" i="3" s="1"/>
  <c r="Y16" i="3"/>
  <c r="Q33" i="3" s="1"/>
  <c r="Y15" i="3"/>
  <c r="P33" i="3" s="1"/>
  <c r="Y14" i="3"/>
  <c r="O33" i="3" s="1"/>
  <c r="Y13" i="3"/>
  <c r="N33" i="3" s="1"/>
  <c r="Y12" i="3"/>
  <c r="M33" i="3" s="1"/>
  <c r="Y11" i="3"/>
  <c r="L33" i="3" s="1"/>
  <c r="Y10" i="3"/>
  <c r="K33" i="3" s="1"/>
  <c r="Y9" i="3"/>
  <c r="J33" i="3" s="1"/>
  <c r="Y8" i="3"/>
  <c r="I33" i="3" s="1"/>
  <c r="Y7" i="3"/>
  <c r="H33" i="3" s="1"/>
  <c r="Y6" i="3"/>
  <c r="G33" i="3" s="1"/>
  <c r="Y5" i="3"/>
  <c r="F33" i="3" s="1"/>
  <c r="Y4" i="3"/>
  <c r="Y3" i="3"/>
  <c r="Y2" i="3"/>
  <c r="D29" i="3"/>
  <c r="XFD1048551" i="3" a="1"/>
  <c r="XFD1048551" i="3" s="1"/>
  <c r="XFD1048552" i="3" a="1"/>
  <c r="XFD1048552" i="3" s="1"/>
  <c r="XFD1048553" i="3" a="1"/>
  <c r="XFD1048553" i="3" s="1"/>
  <c r="XFD1048554" i="3" a="1"/>
  <c r="XFD1048554" i="3" s="1"/>
  <c r="XFD1048555" i="3" a="1"/>
  <c r="XFD1048555" i="3" s="1"/>
  <c r="XFD1048556" i="3" a="1"/>
  <c r="XFD1048556" i="3" s="1"/>
  <c r="XFD1048557" i="3" a="1"/>
  <c r="XFD1048557" i="3" s="1"/>
  <c r="XFD1048558" i="3" a="1"/>
  <c r="XFD1048558" i="3" s="1"/>
  <c r="XFD1048559" i="3" a="1"/>
  <c r="XFD1048559" i="3" s="1"/>
  <c r="XFD1048560" i="3" a="1"/>
  <c r="XFD1048560" i="3" s="1"/>
  <c r="XFD1048561" i="3" a="1"/>
  <c r="XFD1048561" i="3" s="1"/>
  <c r="XFD1048562" i="3" a="1"/>
  <c r="XFD1048562" i="3" s="1"/>
  <c r="XFD1048563" i="3" a="1"/>
  <c r="XFD1048563" i="3" s="1"/>
  <c r="XFD1048564" i="3" a="1"/>
  <c r="XFD1048564" i="3" s="1"/>
  <c r="XFD1048565" i="3" a="1"/>
  <c r="XFD1048565" i="3" s="1"/>
  <c r="XFD1048566" i="3" a="1"/>
  <c r="XFD1048566" i="3" s="1"/>
  <c r="XFD1048567" i="3" a="1"/>
  <c r="XFD1048567" i="3" s="1"/>
  <c r="XFD1048568" i="3" a="1"/>
  <c r="XFD1048568" i="3" s="1"/>
  <c r="XFD1048569" i="3" a="1"/>
  <c r="XFD1048569" i="3" s="1"/>
  <c r="XFD1048570" i="3" a="1"/>
  <c r="XFD1048570" i="3" s="1"/>
  <c r="XFD1048571" i="3" a="1"/>
  <c r="XFD1048571" i="3" s="1"/>
  <c r="XFD1048572" i="3" a="1"/>
  <c r="XFD1048572" i="3" s="1"/>
  <c r="XFD1048573" i="3" a="1"/>
  <c r="XFD1048573" i="3" s="1"/>
  <c r="XFD1048574" i="3" a="1"/>
  <c r="XFD1048574" i="3" s="1"/>
  <c r="XFD1048575" i="3" a="1"/>
  <c r="XFD1048575" i="3" s="1"/>
  <c r="XFD1048576" i="3" a="1"/>
  <c r="XFD1048576" i="3" s="1"/>
  <c r="F29" i="3" l="1"/>
  <c r="C50" i="3"/>
  <c r="D35" i="3"/>
  <c r="D36" i="3" s="1" a="1"/>
  <c r="D36" i="3" s="1"/>
  <c r="D34" i="3"/>
  <c r="Z7" i="3"/>
  <c r="AA7" i="3" s="1"/>
  <c r="E33" i="3"/>
  <c r="Z5" i="3"/>
  <c r="AA5" i="3" s="1"/>
  <c r="Z15" i="3"/>
  <c r="AA15" i="3" s="1"/>
  <c r="Z20" i="3"/>
  <c r="AA20" i="3" s="1"/>
  <c r="Z12" i="3"/>
  <c r="AA12" i="3" s="1"/>
  <c r="Z19" i="3"/>
  <c r="AA19" i="3" s="1"/>
  <c r="Z11" i="3"/>
  <c r="AA11" i="3" s="1"/>
  <c r="Z18" i="3"/>
  <c r="AA18" i="3" s="1"/>
  <c r="Z10" i="3"/>
  <c r="AA10" i="3" s="1"/>
  <c r="Z17" i="3"/>
  <c r="AA17" i="3" s="1"/>
  <c r="Z9" i="3"/>
  <c r="AA9" i="3" s="1"/>
  <c r="Z3" i="3"/>
  <c r="AA3" i="3" s="1"/>
  <c r="Z16" i="3"/>
  <c r="AA16" i="3" s="1"/>
  <c r="Z8" i="3"/>
  <c r="AA8" i="3" s="1"/>
  <c r="Z22" i="3"/>
  <c r="AA22" i="3" s="1"/>
  <c r="Z14" i="3"/>
  <c r="AA14" i="3" s="1"/>
  <c r="Z6" i="3"/>
  <c r="AA6" i="3" s="1"/>
  <c r="Z4" i="3"/>
  <c r="AA4" i="3" s="1"/>
  <c r="Z21" i="3"/>
  <c r="AA21" i="3" s="1"/>
  <c r="Z13" i="3"/>
  <c r="AA13" i="3" s="1"/>
  <c r="C28" i="3"/>
  <c r="E35" i="3" l="1"/>
  <c r="E36" i="3" s="1" a="1"/>
  <c r="E36" i="3" s="1"/>
  <c r="E34" i="3"/>
  <c r="F34" i="3" l="1"/>
  <c r="F35" i="3"/>
  <c r="F36" i="3" s="1" a="1"/>
  <c r="F36" i="3" s="1"/>
  <c r="G34" i="3" l="1"/>
  <c r="G35" i="3"/>
  <c r="G36" i="3" s="1" a="1"/>
  <c r="G36" i="3" s="1"/>
  <c r="H34" i="3" l="1"/>
  <c r="H35" i="3"/>
  <c r="H36" i="3" s="1" a="1"/>
  <c r="H36" i="3" s="1"/>
  <c r="I34" i="3" l="1"/>
  <c r="I35" i="3"/>
  <c r="I36" i="3" s="1" a="1"/>
  <c r="I36" i="3" s="1"/>
  <c r="J34" i="3" l="1"/>
  <c r="J35" i="3"/>
  <c r="J36" i="3" s="1" a="1"/>
  <c r="J36" i="3" s="1"/>
  <c r="K34" i="3" l="1"/>
  <c r="K35" i="3"/>
  <c r="K36" i="3" s="1" a="1"/>
  <c r="K36" i="3" s="1"/>
  <c r="L34" i="3" l="1"/>
  <c r="L35" i="3"/>
  <c r="L36" i="3" s="1" a="1"/>
  <c r="L36" i="3" s="1"/>
  <c r="M34" i="3" l="1"/>
  <c r="N34" i="3" s="1"/>
  <c r="O34" i="3" s="1"/>
  <c r="M35" i="3"/>
  <c r="M36" i="3" s="1" a="1"/>
  <c r="M36" i="3" s="1"/>
  <c r="N35" i="3" l="1"/>
  <c r="N36" i="3" s="1" a="1"/>
  <c r="N36" i="3" s="1"/>
  <c r="P34" i="3" l="1"/>
  <c r="O35" i="3"/>
  <c r="O36" i="3" s="1" a="1"/>
  <c r="O36" i="3" s="1"/>
  <c r="P35" i="3" l="1"/>
  <c r="P36" i="3" s="1" a="1"/>
  <c r="P36" i="3" s="1"/>
  <c r="Q34" i="3" l="1"/>
  <c r="Q35" i="3"/>
  <c r="Q36" i="3" s="1" a="1"/>
  <c r="Q36" i="3" s="1"/>
  <c r="R34" i="3" l="1"/>
  <c r="R35" i="3"/>
  <c r="R36" i="3" s="1" a="1"/>
  <c r="R36" i="3" s="1"/>
  <c r="S34" i="3" l="1"/>
  <c r="S35" i="3"/>
  <c r="S36" i="3" s="1" a="1"/>
  <c r="S36" i="3" s="1"/>
  <c r="T34" i="3" l="1"/>
  <c r="T35" i="3"/>
  <c r="T36" i="3" s="1" a="1"/>
  <c r="T36" i="3" s="1"/>
  <c r="U34" i="3" l="1"/>
  <c r="U35" i="3"/>
  <c r="U36" i="3" s="1" a="1"/>
  <c r="U36" i="3" s="1"/>
  <c r="V34" i="3" l="1"/>
  <c r="V35" i="3"/>
  <c r="V36" i="3" s="1" a="1"/>
  <c r="V36" i="3" s="1"/>
  <c r="W34" i="3" l="1"/>
  <c r="C35" i="3" s="1"/>
  <c r="W35" i="3"/>
  <c r="W36" i="3" s="1" a="1"/>
  <c r="W36" i="3" s="1"/>
  <c r="C39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<sst xmlns="http://schemas.openxmlformats.org/spreadsheetml/2006/main" count="113" uniqueCount="46">
  <si>
    <t>Distribution Centre</t>
  </si>
  <si>
    <t>Raddolugama</t>
  </si>
  <si>
    <t>Kandana</t>
  </si>
  <si>
    <t>Ganemulla - 1</t>
  </si>
  <si>
    <t>Ganemulla - 2</t>
  </si>
  <si>
    <t>Weliweriya</t>
  </si>
  <si>
    <t>Yakkala - 1</t>
  </si>
  <si>
    <t>Yakkala - 2</t>
  </si>
  <si>
    <t>Kirillawala (Express)</t>
  </si>
  <si>
    <t>Yakkala (Express)</t>
  </si>
  <si>
    <t>Gampaha - 1</t>
  </si>
  <si>
    <t>Gampaha - 2</t>
  </si>
  <si>
    <t>Gampaha (Square)</t>
  </si>
  <si>
    <t>Gampaha - 3</t>
  </si>
  <si>
    <t>Minuwangoda</t>
  </si>
  <si>
    <t>Kiribathgoda - 1</t>
  </si>
  <si>
    <t>Delgoda</t>
  </si>
  <si>
    <t>Bandarawatte</t>
  </si>
  <si>
    <t>Mattakkuliya</t>
  </si>
  <si>
    <t>Peliyagoda</t>
  </si>
  <si>
    <t>Rice Supply / Demand, kg</t>
  </si>
  <si>
    <t>Latitude</t>
  </si>
  <si>
    <t>Longitude</t>
  </si>
  <si>
    <t>Starting point</t>
  </si>
  <si>
    <t>Cumulative load</t>
  </si>
  <si>
    <t>Load for each station</t>
  </si>
  <si>
    <t>Cumulative Load</t>
  </si>
  <si>
    <t>If cumulative load exceeds limit</t>
  </si>
  <si>
    <t>No truck Capacity</t>
  </si>
  <si>
    <t>Has truck capacity</t>
  </si>
  <si>
    <t xml:space="preserve">Distance travelled between </t>
  </si>
  <si>
    <t>Distance between</t>
  </si>
  <si>
    <t>Objective function:</t>
  </si>
  <si>
    <t>Minimum distance travelled</t>
  </si>
  <si>
    <t>Load of the location</t>
  </si>
  <si>
    <t>Should make a return trip or not</t>
  </si>
  <si>
    <t>Total distance</t>
  </si>
  <si>
    <t>Location</t>
  </si>
  <si>
    <t>Elakanda</t>
  </si>
  <si>
    <t>When the truck capacity is 5000 Kg, the best route is:</t>
  </si>
  <si>
    <t xml:space="preserve">Location </t>
  </si>
  <si>
    <t>Name</t>
  </si>
  <si>
    <t>Distance</t>
  </si>
  <si>
    <t>Cumulative Distance</t>
  </si>
  <si>
    <t>Elajanda</t>
  </si>
  <si>
    <t>Return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</si>
</sst>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9" fillId="0" borderId="0"/>
  </cellStyleXfs>
  <cellXfs count="32">
    <xf numFmtId="0" fontId="0" fillId="0" borderId="0" xfId="0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1" fontId="0" fillId="0" borderId="4" xfId="0" applyNumberFormat="1" applyBorder="1"/>
    <xf numFmtId="0" fontId="4" fillId="0" borderId="9" xfId="0" applyFont="1" applyBorder="1"/>
    <xf numFmtId="0" fontId="3" fillId="0" borderId="9" xfId="0" applyFont="1" applyBorder="1"/>
    <xf numFmtId="0" fontId="0" fillId="0" borderId="9" xfId="0" applyBorder="1"/>
    <xf numFmtId="0" fontId="3" fillId="0" borderId="6" xfId="0" applyFont="1" applyBorder="1"/>
    <xf numFmtId="0" fontId="3" fillId="0" borderId="1" xfId="0" applyFont="1" applyBorder="1"/>
    <xf numFmtId="0" fontId="3" fillId="0" borderId="3" xfId="0" applyFont="1" applyBorder="1"/>
    <xf numFmtId="0" fontId="5" fillId="2" borderId="0" xfId="1"/>
    <xf numFmtId="0" fontId="8" fillId="0" borderId="9" xfId="0" applyFont="1" applyBorder="1"/>
    <xf numFmtId="0" fontId="6" fillId="3" borderId="1" xfId="2" applyBorder="1"/>
    <xf numFmtId="1" fontId="6" fillId="3" borderId="0" xfId="2" applyNumberFormat="1"/>
    <xf numFmtId="0" fontId="5" fillId="2" borderId="1" xfId="1" applyBorder="1"/>
    <xf numFmtId="2" fontId="6" fillId="3" borderId="0" xfId="2" applyNumberFormat="1"/>
    <xf numFmtId="0" fontId="5" fillId="2" borderId="7" xfId="1" applyBorder="1"/>
    <xf numFmtId="0" fontId="7" fillId="4" borderId="0" xfId="3"/>
    <xf numFmtId="0" fontId="4" fillId="0" borderId="0" xfId="0" applyFont="1" applyBorder="1"/>
    <xf numFmtId="0" fontId="3" fillId="0" borderId="0" xfId="0" applyFont="1" applyBorder="1"/>
    <xf numFmtId="0" fontId="0" fillId="0" borderId="0" xfId="0" applyBorder="1"/>
    <xf numFmtId="0" fontId="9" fillId="0" borderId="0" xfId="0" applyFont="1"/>
    <xf numFmtId="0" fontId="1" fillId="0" borderId="0" xfId="4" applyFont="1"/>
    <xf numFmtId="0" fontId="1" fillId="0" borderId="9" xfId="4" applyFont="1" applyBorder="1"/>
    <xf numFmtId="0" fontId="1" fillId="0" borderId="9" xfId="4" applyFont="1" applyFill="1" applyBorder="1"/>
  </cellXfs>
  <cellStyles count="5">
    <cellStyle name="Bad" xfId="2" builtinId="27"/>
    <cellStyle name="Good" xfId="1" builtinId="26"/>
    <cellStyle name="Neutral" xfId="3" builtinId="28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185214-56FD-40C0-8B23-E91E3FAC9361}">
  <we:reference id="wa104100404" version="3.0.0.1" store="en-US" storeType="OMEX"/>
  <we:alternateReferences>
    <we:reference id="wa104100404" version="3.0.0.1" store="WA104100404" storeType="OMEX"/>
  </we:alternateReferences>
  <we:properties>
    <we:property name="MQMNHRxrcRBaKjUNKjIBDQ4=" value="&quot;UkVYSQ==&quot;"/>
    <we:property name="MQMNHRxrcRBaKjUNKjIFEAc=" value="&quot;UkVYSFhpYFI=&quot;"/>
    <we:property name="MQMNHRxrcRBaKjUNKjIGAQ4=" value="&quot;Uw==&quot;"/>
    <we:property name="MQMNHRxrcRBaKjUNKjIGDQE=" value="&quot;Ug==&quot;"/>
    <we:property name="MQMNHRxrcRBaKjUNKjIGERg=" value="&quot;U1tY&quot;"/>
    <we:property name="MQMNHRxrcRBaKjUNKjIGFgM=" value="&quot;Ug==&quot;"/>
    <we:property name="MQMNHRxrcRBaKjUNKjIHABQ=" value="&quot;Uw==&quot;"/>
    <we:property name="MQMNHRxrcRBaKjUNKjIHBw5Z" value="&quot;QlZIGQQ1NApTICYaPQMB&quot;"/>
    <we:property name="MQMNHRxrcRBaKjUNKjIHBw5a" value="&quot;QlZIGQQ1NApTICYaPQMB&quot;"/>
    <we:property name="MQMNHRxrcRBaKjUNKjIHBxE=" value="&quot;Vw==&quot;"/>
    <we:property name="MQMNHRxrcRBaKjUNKjIHChFZ" value="&quot;&quot;"/>
    <we:property name="MQMNHRxrcRBaKjUNKjIHChFa" value="&quot;&quot;"/>
    <we:property name="MQMNHRxrcRBaKjUNKjIHDho=" value="&quot;Ug==&quot;"/>
    <we:property name="MQMNHRxrcRBaKjUNKjIHEQY=" value="&quot;Ug==&quot;"/>
    <we:property name="MQMNHRxrcRBaKjUNKjIQDAU=" value="&quot;Jx0H&quot;"/>
    <we:property name="MQMNHRxrcRBaKjUNKjISAxI=" value="&quot;UkVYSFhpYFI=&quot;"/>
    <we:property name="MQMNHRxrcRBaKjUNKjITBwM=" value="&quot;UkVYSFhpYFI=&quot;"/>
    <we:property name="MQMNHRxrcRBaKjUNKjIUAQE=" value="&quot;UkVYSFk=&quot;"/>
    <we:property name="MQMNHRxrcRBaKjUNKjIUEBE=" value="&quot;Uw==&quot;"/>
    <we:property name="MQMNHRxrcRBaKjUNKjIWFAU=" value="&quot;UkVYSFho&quot;"/>
    <we:property name="MQMNHRxrcRBaKjUNKjIYBxY=" value="&quot;UA==&quot;"/>
    <we:property name="MQMNHRxrcRBaKjUNKjIYDAs=" value="&quot;UVs=&quot;"/>
    <we:property name="MQMNHRxrcRBaKjUNKjIYEBY=" value="&quot;UkVYT10=&quot;"/>
    <we:property name="MQMNHRxrcRBaKjUNKjIYEQ4=" value="&quot;Ug==&quot;"/>
    <we:property name="MQMNHRxrcRBaKjUNKjIZChFZ" value="&quot;RihMSlxjZDQRdHc=&quot;"/>
    <we:property name="MQMNHRxrcRBaKjUNKjIZChFa" value="&quot;RihMSlxjZDQRdHc=&quot;"/>
    <we:property name="MQMNHRxrcRBaKjUNKjIZEhI=" value="&quot;Ug==&quot;"/>
    <we:property name="MQMNHRxrcRBaKjUNKjIZEhY=" value="&quot;Ug==&quot;"/>
    <we:property name="MQMNHRxrcRBaKjUNKjIbBwU=" value="&quot;Uw==&quot;"/>
    <we:property name="MQMNHRxrcRBaKjUNKjIbFhA=" value="&quot;UA==&quot;"/>
    <we:property name="MQMNHRxrcRBaKjUNKjIbFw8=" value="&quot;Uw==&quot;"/>
    <we:property name="MQMNHRxrcRBaKjUNKjIcEgY=" value="&quot;UQ==&quot;"/>
    <we:property name="MQMNHRxrcRBaKjUNKjIcEgs=" value="&quot;Uw==&quot;"/>
    <we:property name="MQMNHRxrcRBaKjUNKjIcEhE=" value="&quot;UkVRQQ==&quot;"/>
    <we:property name="MQMNHRxrcS5UPg4BNg==" value="&quot;UA==&quot;"/>
    <we:property name="MQMNHRxrcSxXLA==" value="&quot;RihMS10=&quot;"/>
    <we:property name="MQMNHRxrcTVUNCoJOgEQEQ==" value="&quot;RihMSlxjdDQRdHc=&quot;"/>
    <we:property name="UniqueID" value="&quot;20248251727239346327&quot;"/>
  </we:properties>
  <we:bindings>
    <we:binding id="Var$C$24:$W$24" type="matrix" appref="{1E64FBFD-F828-421B-BF31-BD443F1458AA}"/>
    <we:binding id="refEdit" type="matrix" appref="{3110FD7F-9661-4D8E-A0BA-34AF60ED2AB0}"/>
    <we:binding id="Worker" type="matrix" appref="{B1D4B12A-A603-4987-9E0E-590590A2356D}"/>
    <we:binding id="Var0" type="matrix" appref="{7CBA811E-A77A-456E-A0BD-49BE7EDC2FA3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7"/>
  <sheetViews>
    <sheetView topLeftCell="A6" workbookViewId="0">
      <selection activeCell="N14" sqref="N14"/>
    </sheetView>
  </sheetViews>
  <sheetFormatPr defaultRowHeight="15.6" x14ac:dyDescent="0.3"/>
  <cols>
    <col min="1" max="1" width="16.19921875" customWidth="1"/>
    <col min="2" max="2" width="15" customWidth="1"/>
    <col min="3" max="3" width="12" customWidth="1"/>
    <col min="4" max="4" width="19" customWidth="1"/>
  </cols>
  <sheetData>
    <row r="2" spans="1:19" ht="18" x14ac:dyDescent="0.35">
      <c r="A2" s="11" t="s">
        <v>37</v>
      </c>
      <c r="B2" s="11" t="s">
        <v>21</v>
      </c>
      <c r="C2" s="11" t="s">
        <v>22</v>
      </c>
      <c r="D2" s="12" t="s">
        <v>20</v>
      </c>
    </row>
    <row r="3" spans="1:19" ht="18" x14ac:dyDescent="0.35">
      <c r="A3" s="11" t="s">
        <v>0</v>
      </c>
      <c r="B3" s="13">
        <v>7.2286843853072797</v>
      </c>
      <c r="C3" s="13">
        <v>79.9114015983656</v>
      </c>
      <c r="D3" s="13">
        <f>10000</f>
        <v>10000</v>
      </c>
    </row>
    <row r="4" spans="1:19" ht="18" x14ac:dyDescent="0.35">
      <c r="A4" s="11" t="s">
        <v>1</v>
      </c>
      <c r="B4" s="13">
        <v>7.1473757227193504</v>
      </c>
      <c r="C4" s="13">
        <v>79.897406928512595</v>
      </c>
      <c r="D4" s="13">
        <f>500</f>
        <v>500</v>
      </c>
    </row>
    <row r="5" spans="1:19" ht="18" x14ac:dyDescent="0.35">
      <c r="A5" s="11" t="s">
        <v>2</v>
      </c>
      <c r="B5" s="13">
        <v>7.0524935195531997</v>
      </c>
      <c r="C5" s="13">
        <v>79.896376961419406</v>
      </c>
      <c r="D5" s="13">
        <f>200</f>
        <v>200</v>
      </c>
    </row>
    <row r="6" spans="1:19" ht="18" x14ac:dyDescent="0.35">
      <c r="A6" s="11" t="s">
        <v>3</v>
      </c>
      <c r="B6" s="13">
        <v>7.0674851851990201</v>
      </c>
      <c r="C6" s="13">
        <v>79.962123267641005</v>
      </c>
      <c r="D6" s="13">
        <f>400</f>
        <v>400</v>
      </c>
    </row>
    <row r="7" spans="1:19" ht="18" x14ac:dyDescent="0.35">
      <c r="A7" s="11" t="s">
        <v>4</v>
      </c>
      <c r="B7" s="13">
        <v>7.0696998218916596</v>
      </c>
      <c r="C7" s="13">
        <v>79.958346717537097</v>
      </c>
      <c r="D7" s="13">
        <f>400</f>
        <v>400</v>
      </c>
      <c r="P7" s="25"/>
      <c r="Q7" s="25"/>
      <c r="R7" s="25"/>
      <c r="S7" s="26"/>
    </row>
    <row r="8" spans="1:19" ht="18" x14ac:dyDescent="0.35">
      <c r="A8" s="11" t="s">
        <v>8</v>
      </c>
      <c r="B8" s="13">
        <v>7.0340939935027196</v>
      </c>
      <c r="C8" s="13">
        <v>79.986670845310101</v>
      </c>
      <c r="D8" s="13">
        <f>100</f>
        <v>100</v>
      </c>
      <c r="P8" s="25"/>
      <c r="Q8" s="27"/>
      <c r="R8" s="27"/>
      <c r="S8" s="27"/>
    </row>
    <row r="9" spans="1:19" ht="18" x14ac:dyDescent="0.35">
      <c r="A9" s="11" t="s">
        <v>5</v>
      </c>
      <c r="B9" s="13">
        <v>7.0368198952119201</v>
      </c>
      <c r="C9" s="13">
        <v>80.0263246214014</v>
      </c>
      <c r="D9" s="13">
        <f>450</f>
        <v>450</v>
      </c>
      <c r="P9" s="25"/>
      <c r="Q9" s="27"/>
      <c r="R9" s="27"/>
      <c r="S9" s="27"/>
    </row>
    <row r="10" spans="1:19" ht="18" x14ac:dyDescent="0.35">
      <c r="A10" s="11" t="s">
        <v>6</v>
      </c>
      <c r="B10" s="13">
        <v>7.0890348530063001</v>
      </c>
      <c r="C10" s="13">
        <v>80.029157035706405</v>
      </c>
      <c r="D10" s="13">
        <f>450</f>
        <v>450</v>
      </c>
      <c r="P10" s="25"/>
      <c r="Q10" s="27"/>
      <c r="R10" s="27"/>
      <c r="S10" s="27"/>
    </row>
    <row r="11" spans="1:19" ht="18" x14ac:dyDescent="0.35">
      <c r="A11" s="11" t="s">
        <v>7</v>
      </c>
      <c r="B11" s="13">
        <v>7.0874165335147499</v>
      </c>
      <c r="C11" s="13">
        <v>80.033791892652104</v>
      </c>
      <c r="D11" s="13">
        <f>500</f>
        <v>500</v>
      </c>
      <c r="P11" s="25"/>
      <c r="Q11" s="27"/>
      <c r="R11" s="27"/>
      <c r="S11" s="27"/>
    </row>
    <row r="12" spans="1:19" ht="18" x14ac:dyDescent="0.35">
      <c r="A12" s="11" t="s">
        <v>9</v>
      </c>
      <c r="B12" s="13">
        <v>7.0850316312739103</v>
      </c>
      <c r="C12" s="13">
        <v>80.034864776204401</v>
      </c>
      <c r="D12" s="13">
        <f>100</f>
        <v>100</v>
      </c>
      <c r="P12" s="25"/>
      <c r="Q12" s="27"/>
      <c r="R12" s="27"/>
      <c r="S12" s="27"/>
    </row>
    <row r="13" spans="1:19" ht="18" x14ac:dyDescent="0.35">
      <c r="A13" s="11" t="s">
        <v>10</v>
      </c>
      <c r="B13" s="13">
        <v>7.0927925686098199</v>
      </c>
      <c r="C13" s="13">
        <v>79.996307217571697</v>
      </c>
      <c r="D13" s="13">
        <f>650</f>
        <v>650</v>
      </c>
      <c r="P13" s="25"/>
      <c r="Q13" s="27"/>
      <c r="R13" s="27"/>
      <c r="S13" s="27"/>
    </row>
    <row r="14" spans="1:19" ht="18" x14ac:dyDescent="0.35">
      <c r="A14" s="11" t="s">
        <v>11</v>
      </c>
      <c r="B14" s="13">
        <v>7.0896843086182004</v>
      </c>
      <c r="C14" s="13">
        <v>80.004306369241604</v>
      </c>
      <c r="D14" s="13">
        <f>600</f>
        <v>600</v>
      </c>
      <c r="P14" s="25"/>
      <c r="Q14" s="27"/>
      <c r="R14" s="27"/>
      <c r="S14" s="27"/>
    </row>
    <row r="15" spans="1:19" ht="18" x14ac:dyDescent="0.35">
      <c r="A15" s="11" t="s">
        <v>12</v>
      </c>
      <c r="B15" s="13">
        <v>7.0897056022278004</v>
      </c>
      <c r="C15" s="13">
        <v>80.004453890730005</v>
      </c>
      <c r="D15" s="13">
        <f>1000</f>
        <v>1000</v>
      </c>
      <c r="P15" s="25"/>
      <c r="Q15" s="27"/>
      <c r="R15" s="27"/>
      <c r="S15" s="27"/>
    </row>
    <row r="16" spans="1:19" ht="18" x14ac:dyDescent="0.35">
      <c r="A16" s="11" t="s">
        <v>13</v>
      </c>
      <c r="B16" s="13">
        <v>7.0873187160108904</v>
      </c>
      <c r="C16" s="13">
        <v>80.014364652274296</v>
      </c>
      <c r="D16" s="13">
        <f>400</f>
        <v>400</v>
      </c>
      <c r="P16" s="25"/>
      <c r="Q16" s="27"/>
      <c r="R16" s="27"/>
      <c r="S16" s="27"/>
    </row>
    <row r="17" spans="1:19" ht="18" x14ac:dyDescent="0.35">
      <c r="A17" s="11" t="s">
        <v>14</v>
      </c>
      <c r="B17" s="13">
        <v>7.1736320105518097</v>
      </c>
      <c r="C17" s="13">
        <v>79.945372875446594</v>
      </c>
      <c r="D17" s="13">
        <f>300</f>
        <v>300</v>
      </c>
      <c r="P17" s="25"/>
      <c r="Q17" s="27"/>
      <c r="R17" s="27"/>
      <c r="S17" s="27"/>
    </row>
    <row r="18" spans="1:19" ht="18" x14ac:dyDescent="0.35">
      <c r="A18" s="11" t="s">
        <v>15</v>
      </c>
      <c r="B18" s="13">
        <v>6.9882890020629898</v>
      </c>
      <c r="C18" s="13">
        <v>79.930180842939706</v>
      </c>
      <c r="D18" s="13">
        <f>550</f>
        <v>550</v>
      </c>
      <c r="P18" s="25"/>
      <c r="Q18" s="27"/>
      <c r="R18" s="27"/>
      <c r="S18" s="27"/>
    </row>
    <row r="19" spans="1:19" ht="18" x14ac:dyDescent="0.35">
      <c r="A19" s="11" t="s">
        <v>16</v>
      </c>
      <c r="B19" s="13">
        <v>6.9927190190182698</v>
      </c>
      <c r="C19" s="13">
        <v>80.014981558703596</v>
      </c>
      <c r="D19" s="13">
        <f>450</f>
        <v>450</v>
      </c>
      <c r="P19" s="25"/>
      <c r="Q19" s="27"/>
      <c r="R19" s="27"/>
      <c r="S19" s="27"/>
    </row>
    <row r="20" spans="1:19" ht="18" x14ac:dyDescent="0.35">
      <c r="A20" s="11" t="s">
        <v>17</v>
      </c>
      <c r="B20" s="13">
        <v>6.9436457135911303</v>
      </c>
      <c r="C20" s="13">
        <v>79.988202385239305</v>
      </c>
      <c r="D20" s="13">
        <f>300</f>
        <v>300</v>
      </c>
      <c r="P20" s="25"/>
      <c r="Q20" s="27"/>
      <c r="R20" s="27"/>
      <c r="S20" s="27"/>
    </row>
    <row r="21" spans="1:19" ht="18" x14ac:dyDescent="0.35">
      <c r="A21" s="11" t="s">
        <v>38</v>
      </c>
      <c r="B21" s="13">
        <v>6.9957279563483796</v>
      </c>
      <c r="C21" s="13">
        <v>79.874088739861406</v>
      </c>
      <c r="D21" s="13">
        <f>400</f>
        <v>400</v>
      </c>
      <c r="P21" s="25"/>
      <c r="Q21" s="27"/>
      <c r="R21" s="27"/>
      <c r="S21" s="27"/>
    </row>
    <row r="22" spans="1:19" ht="18" x14ac:dyDescent="0.35">
      <c r="A22" s="11" t="s">
        <v>18</v>
      </c>
      <c r="B22" s="13">
        <v>6.9723603632689404</v>
      </c>
      <c r="C22" s="13">
        <v>79.874585865117197</v>
      </c>
      <c r="D22" s="13">
        <f>450</f>
        <v>450</v>
      </c>
      <c r="P22" s="25"/>
      <c r="Q22" s="27"/>
      <c r="R22" s="27"/>
      <c r="S22" s="27"/>
    </row>
    <row r="23" spans="1:19" ht="18" x14ac:dyDescent="0.35">
      <c r="A23" s="11" t="s">
        <v>19</v>
      </c>
      <c r="B23" s="13">
        <v>6.9698896740040901</v>
      </c>
      <c r="C23" s="13">
        <v>79.883683918942097</v>
      </c>
      <c r="D23" s="13">
        <f>500</f>
        <v>500</v>
      </c>
      <c r="P23" s="25"/>
      <c r="Q23" s="27"/>
      <c r="R23" s="27"/>
      <c r="S23" s="27"/>
    </row>
    <row r="24" spans="1:19" ht="18" x14ac:dyDescent="0.35">
      <c r="A24" s="25"/>
      <c r="B24" s="27"/>
      <c r="C24" s="27"/>
      <c r="D24" s="27"/>
      <c r="P24" s="25"/>
      <c r="Q24" s="27"/>
      <c r="R24" s="27"/>
      <c r="S24" s="27"/>
    </row>
    <row r="25" spans="1:19" ht="18" x14ac:dyDescent="0.35">
      <c r="A25" s="25"/>
      <c r="B25" s="27"/>
      <c r="C25" s="27"/>
      <c r="D25" s="27"/>
      <c r="P25" s="25"/>
      <c r="Q25" s="27"/>
      <c r="R25" s="27"/>
      <c r="S25" s="27"/>
    </row>
    <row r="26" spans="1:19" ht="18" x14ac:dyDescent="0.35">
      <c r="A26" s="25"/>
      <c r="B26" s="27"/>
      <c r="C26" s="27"/>
      <c r="D26" s="27"/>
      <c r="P26" s="25"/>
      <c r="Q26" s="27"/>
      <c r="R26" s="27"/>
      <c r="S26" s="27"/>
    </row>
    <row r="27" spans="1:19" ht="18" x14ac:dyDescent="0.35">
      <c r="A27" s="25"/>
      <c r="B27" s="27"/>
      <c r="C27" s="27"/>
      <c r="D27" s="27"/>
      <c r="P27" s="25"/>
      <c r="Q27" s="27"/>
      <c r="R27" s="27"/>
      <c r="S27" s="27"/>
    </row>
    <row r="28" spans="1:19" ht="18" x14ac:dyDescent="0.35">
      <c r="A28" s="25"/>
      <c r="B28" s="27"/>
      <c r="C28" s="27"/>
      <c r="D28" s="27"/>
      <c r="P28" s="25"/>
      <c r="Q28" s="27"/>
      <c r="R28" s="27"/>
      <c r="S28" s="27"/>
    </row>
    <row r="29" spans="1:19" ht="18" x14ac:dyDescent="0.35">
      <c r="A29" s="25"/>
      <c r="B29" s="27"/>
      <c r="C29" s="27"/>
      <c r="D29" s="27"/>
      <c r="P29" s="27"/>
      <c r="Q29" s="27"/>
      <c r="R29" s="27"/>
      <c r="S29" s="27"/>
    </row>
    <row r="30" spans="1:19" ht="18" x14ac:dyDescent="0.35">
      <c r="A30" s="25"/>
      <c r="B30" s="27"/>
      <c r="C30" s="27"/>
      <c r="D30" s="27"/>
      <c r="P30" s="27"/>
      <c r="Q30" s="27"/>
      <c r="R30" s="27"/>
      <c r="S30" s="27"/>
    </row>
    <row r="31" spans="1:19" ht="18" x14ac:dyDescent="0.35">
      <c r="A31" s="25"/>
      <c r="B31" s="27"/>
      <c r="C31" s="27"/>
      <c r="D31" s="27"/>
      <c r="P31" s="27"/>
      <c r="Q31" s="27"/>
      <c r="R31" s="27"/>
      <c r="S31" s="27"/>
    </row>
    <row r="32" spans="1:19" ht="18" x14ac:dyDescent="0.35">
      <c r="A32" s="25"/>
      <c r="B32" s="27"/>
      <c r="C32" s="27"/>
      <c r="D32" s="27"/>
    </row>
    <row r="33" spans="1:4" ht="18" x14ac:dyDescent="0.35">
      <c r="A33" s="25"/>
      <c r="B33" s="27"/>
      <c r="C33" s="27"/>
      <c r="D33" s="27"/>
    </row>
    <row r="34" spans="1:4" ht="18" x14ac:dyDescent="0.35">
      <c r="A34" s="25"/>
      <c r="B34" s="27"/>
      <c r="C34" s="27"/>
      <c r="D34" s="27"/>
    </row>
    <row r="35" spans="1:4" x14ac:dyDescent="0.3">
      <c r="A35" s="27"/>
      <c r="B35" s="27"/>
      <c r="C35" s="27"/>
      <c r="D35" s="27"/>
    </row>
    <row r="36" spans="1:4" x14ac:dyDescent="0.3">
      <c r="A36" s="27"/>
      <c r="B36" s="27"/>
      <c r="C36" s="27"/>
      <c r="D36" s="27"/>
    </row>
    <row r="37" spans="1:4" x14ac:dyDescent="0.3">
      <c r="A37" s="27"/>
      <c r="B37" s="27"/>
      <c r="C37" s="27"/>
      <c r="D37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76"/>
  <sheetViews>
    <sheetView topLeftCell="A14" zoomScale="65" workbookViewId="0">
      <selection activeCell="B20" sqref="B20"/>
    </sheetView>
  </sheetViews>
  <sheetFormatPr defaultRowHeight="15.6" x14ac:dyDescent="0.3"/>
  <cols>
    <col min="2" max="2" width="28.59765625" bestFit="1" customWidth="1"/>
    <col min="3" max="3" width="17.5" bestFit="1" customWidth="1"/>
    <col min="4" max="7" width="14.5" bestFit="1" customWidth="1"/>
    <col min="8" max="8" width="18" bestFit="1" customWidth="1"/>
    <col min="9" max="11" width="14.5" bestFit="1" customWidth="1"/>
    <col min="12" max="12" width="15.59765625" bestFit="1" customWidth="1"/>
    <col min="13" max="14" width="14.5" bestFit="1" customWidth="1"/>
    <col min="15" max="15" width="16.8984375" bestFit="1" customWidth="1"/>
    <col min="16" max="17" width="14.5" bestFit="1" customWidth="1"/>
    <col min="18" max="18" width="14.59765625" bestFit="1" customWidth="1"/>
    <col min="19" max="23" width="14.5" bestFit="1" customWidth="1"/>
  </cols>
  <sheetData>
    <row r="1" spans="1:27" ht="18" x14ac:dyDescent="0.35">
      <c r="B1" s="18" t="s">
        <v>37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8</v>
      </c>
      <c r="I1" s="11" t="s">
        <v>5</v>
      </c>
      <c r="J1" s="11" t="s">
        <v>6</v>
      </c>
      <c r="K1" s="11" t="s">
        <v>7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38</v>
      </c>
      <c r="V1" s="11" t="s">
        <v>18</v>
      </c>
      <c r="W1" s="11" t="s">
        <v>19</v>
      </c>
      <c r="Y1" t="s">
        <v>25</v>
      </c>
      <c r="Z1" t="s">
        <v>26</v>
      </c>
      <c r="AA1" t="s">
        <v>27</v>
      </c>
    </row>
    <row r="2" spans="1:27" ht="18" x14ac:dyDescent="0.35">
      <c r="A2">
        <v>1</v>
      </c>
      <c r="B2" s="18" t="s">
        <v>0</v>
      </c>
      <c r="C2" s="13">
        <v>0</v>
      </c>
      <c r="D2" s="13">
        <v>9.1719861832773262</v>
      </c>
      <c r="E2" s="13">
        <v>19.661537322758388</v>
      </c>
      <c r="F2" s="13">
        <v>18.777802009864484</v>
      </c>
      <c r="G2" s="13">
        <v>18.421412031096168</v>
      </c>
      <c r="H2" s="13">
        <v>23.176490196758618</v>
      </c>
      <c r="I2" s="13">
        <v>24.818060618875769</v>
      </c>
      <c r="J2" s="13">
        <v>20.24632710441729</v>
      </c>
      <c r="K2" s="13">
        <v>20.714334350465965</v>
      </c>
      <c r="L2" s="13">
        <v>20.992784017936842</v>
      </c>
      <c r="M2" s="13">
        <v>17.778511104890086</v>
      </c>
      <c r="N2" s="13">
        <v>18.545985183286483</v>
      </c>
      <c r="O2" s="13">
        <v>18.553013035028791</v>
      </c>
      <c r="P2" s="13">
        <v>19.39420372481834</v>
      </c>
      <c r="Q2" s="13">
        <v>7.1776109596434816</v>
      </c>
      <c r="R2" s="13">
        <v>26.810939066483336</v>
      </c>
      <c r="S2" s="13">
        <v>28.619260091964954</v>
      </c>
      <c r="T2" s="13">
        <v>32.808275670525283</v>
      </c>
      <c r="U2" s="13">
        <v>26.228713074436829</v>
      </c>
      <c r="V2" s="13">
        <v>28.789972813033437</v>
      </c>
      <c r="W2" s="13">
        <v>28.938730406061456</v>
      </c>
      <c r="Y2">
        <f>10000</f>
        <v>10000</v>
      </c>
      <c r="Z2">
        <v>0</v>
      </c>
      <c r="AA2">
        <f>IF(Z2&gt;5000,1,0)</f>
        <v>0</v>
      </c>
    </row>
    <row r="3" spans="1:27" ht="18" x14ac:dyDescent="0.35">
      <c r="A3">
        <v>2</v>
      </c>
      <c r="B3" s="18" t="s">
        <v>1</v>
      </c>
      <c r="C3" s="13">
        <v>9.1719861832773262</v>
      </c>
      <c r="D3" s="13">
        <v>0</v>
      </c>
      <c r="E3" s="13">
        <v>10.551031715150282</v>
      </c>
      <c r="F3" s="13">
        <v>11.397661124231329</v>
      </c>
      <c r="G3" s="13">
        <v>10.945971353193825</v>
      </c>
      <c r="H3" s="13">
        <v>15.990193783387456</v>
      </c>
      <c r="I3" s="13">
        <v>18.801156182483787</v>
      </c>
      <c r="J3" s="13">
        <v>15.918829080830548</v>
      </c>
      <c r="K3" s="13">
        <v>16.459254126391833</v>
      </c>
      <c r="L3" s="13">
        <v>16.676077585877184</v>
      </c>
      <c r="M3" s="13">
        <v>12.486706682499603</v>
      </c>
      <c r="N3" s="13">
        <v>13.42666625223959</v>
      </c>
      <c r="O3" s="13">
        <v>13.439837553342516</v>
      </c>
      <c r="P3" s="13">
        <v>14.530396547591913</v>
      </c>
      <c r="Q3" s="13">
        <v>6.0439093474782428</v>
      </c>
      <c r="R3" s="13">
        <v>18.055553762173915</v>
      </c>
      <c r="S3" s="13">
        <v>21.542294366277137</v>
      </c>
      <c r="T3" s="13">
        <v>24.770699702477405</v>
      </c>
      <c r="U3" s="13">
        <v>17.057657609256584</v>
      </c>
      <c r="V3" s="13">
        <v>19.623088048670105</v>
      </c>
      <c r="W3" s="13">
        <v>19.793563539094425</v>
      </c>
      <c r="Y3" s="3">
        <f>500</f>
        <v>500</v>
      </c>
      <c r="Z3">
        <f>SUM(Y3)</f>
        <v>500</v>
      </c>
      <c r="AA3">
        <f>IF(Z3&gt;5000,1,0)</f>
        <v>0</v>
      </c>
    </row>
    <row r="4" spans="1:27" ht="18" x14ac:dyDescent="0.35">
      <c r="A4">
        <v>3</v>
      </c>
      <c r="B4" s="18" t="s">
        <v>2</v>
      </c>
      <c r="C4" s="13">
        <v>19.661537322758388</v>
      </c>
      <c r="D4" s="13">
        <v>10.551031715150282</v>
      </c>
      <c r="E4" s="13">
        <v>0</v>
      </c>
      <c r="F4" s="13">
        <v>7.4442722170649018</v>
      </c>
      <c r="G4" s="13">
        <v>7.1010621491299748</v>
      </c>
      <c r="H4" s="13">
        <v>10.172326659597454</v>
      </c>
      <c r="I4" s="13">
        <v>14.445955817865562</v>
      </c>
      <c r="J4" s="13">
        <v>15.205137271112411</v>
      </c>
      <c r="K4" s="13">
        <v>15.653001025215341</v>
      </c>
      <c r="L4" s="13">
        <v>15.704550600359235</v>
      </c>
      <c r="M4" s="13">
        <v>11.90288386063126</v>
      </c>
      <c r="N4" s="13">
        <v>12.607459351164652</v>
      </c>
      <c r="O4" s="13">
        <v>12.623614337703753</v>
      </c>
      <c r="P4" s="13">
        <v>13.583543213452664</v>
      </c>
      <c r="Q4" s="13">
        <v>14.514377127490503</v>
      </c>
      <c r="R4" s="13">
        <v>8.0551896959264262</v>
      </c>
      <c r="S4" s="13">
        <v>14.680160155676631</v>
      </c>
      <c r="T4" s="13">
        <v>15.785993880692519</v>
      </c>
      <c r="U4" s="13">
        <v>6.774377191613639</v>
      </c>
      <c r="V4" s="13">
        <v>9.2292439079014752</v>
      </c>
      <c r="W4" s="13">
        <v>9.2913379537724907</v>
      </c>
      <c r="Y4" s="3">
        <f>200</f>
        <v>200</v>
      </c>
      <c r="Z4">
        <f>SUM($Y$3:$Y4)</f>
        <v>700</v>
      </c>
      <c r="AA4">
        <f>IF(Z4&gt;5000,1,0)</f>
        <v>0</v>
      </c>
    </row>
    <row r="5" spans="1:27" ht="18" x14ac:dyDescent="0.35">
      <c r="A5">
        <v>4</v>
      </c>
      <c r="B5" s="18" t="s">
        <v>3</v>
      </c>
      <c r="C5" s="13">
        <v>18.777802009864484</v>
      </c>
      <c r="D5" s="13">
        <v>11.397661124231329</v>
      </c>
      <c r="E5" s="13">
        <v>7.4442722170649018</v>
      </c>
      <c r="F5" s="13">
        <v>0</v>
      </c>
      <c r="G5" s="13">
        <v>0.48406166722202798</v>
      </c>
      <c r="H5" s="13">
        <v>4.596099274877858</v>
      </c>
      <c r="I5" s="13">
        <v>7.8627040679888651</v>
      </c>
      <c r="J5" s="13">
        <v>7.7754460722653569</v>
      </c>
      <c r="K5" s="13">
        <v>8.213139987237243</v>
      </c>
      <c r="L5" s="13">
        <v>8.2605965100224612</v>
      </c>
      <c r="M5" s="13">
        <v>4.7061249046713112</v>
      </c>
      <c r="N5" s="13">
        <v>5.2688016001921429</v>
      </c>
      <c r="O5" s="13">
        <v>5.2842952553244924</v>
      </c>
      <c r="P5" s="13">
        <v>6.1721703861262425</v>
      </c>
      <c r="Q5" s="13">
        <v>11.946813611034536</v>
      </c>
      <c r="R5" s="13">
        <v>9.4855721422208124</v>
      </c>
      <c r="S5" s="13">
        <v>10.156014909566318</v>
      </c>
      <c r="T5" s="13">
        <v>14.067901895304646</v>
      </c>
      <c r="U5" s="13">
        <v>12.571930277292823</v>
      </c>
      <c r="V5" s="13">
        <v>14.325200731791773</v>
      </c>
      <c r="W5" s="13">
        <v>13.881895629191142</v>
      </c>
      <c r="Y5" s="3">
        <f>400</f>
        <v>400</v>
      </c>
      <c r="Z5">
        <f>SUM($Y$3:$Y5)</f>
        <v>1100</v>
      </c>
      <c r="AA5">
        <f t="shared" ref="AA5:AA22" si="0">IF(Z5&gt;5000,1,0)</f>
        <v>0</v>
      </c>
    </row>
    <row r="6" spans="1:27" ht="18" x14ac:dyDescent="0.35">
      <c r="A6">
        <v>5</v>
      </c>
      <c r="B6" s="18" t="s">
        <v>4</v>
      </c>
      <c r="C6" s="13">
        <v>18.421412031096168</v>
      </c>
      <c r="D6" s="13">
        <v>10.945971353193825</v>
      </c>
      <c r="E6" s="13">
        <v>7.1010621491299748</v>
      </c>
      <c r="F6" s="13">
        <v>0.48406166722202798</v>
      </c>
      <c r="G6" s="13">
        <v>0</v>
      </c>
      <c r="H6" s="13">
        <v>5.0443043202497737</v>
      </c>
      <c r="I6" s="13">
        <v>8.3451108309633568</v>
      </c>
      <c r="J6" s="13">
        <v>8.1041077683557976</v>
      </c>
      <c r="K6" s="13">
        <v>8.5550892738611353</v>
      </c>
      <c r="L6" s="13">
        <v>8.6139798028030867</v>
      </c>
      <c r="M6" s="13">
        <v>4.9132248425353149</v>
      </c>
      <c r="N6" s="13">
        <v>5.5369966034665961</v>
      </c>
      <c r="O6" s="13">
        <v>5.55285853959123</v>
      </c>
      <c r="P6" s="13">
        <v>6.4844685841450538</v>
      </c>
      <c r="Q6" s="13">
        <v>11.645052004429786</v>
      </c>
      <c r="R6" s="13">
        <v>9.5712664370194442</v>
      </c>
      <c r="S6" s="13">
        <v>10.598858020592376</v>
      </c>
      <c r="T6" s="13">
        <v>14.398663211461306</v>
      </c>
      <c r="U6" s="13">
        <v>12.414463353584509</v>
      </c>
      <c r="V6" s="13">
        <v>14.2338297752593</v>
      </c>
      <c r="W6" s="13">
        <v>13.822802899799379</v>
      </c>
      <c r="Y6" s="3">
        <f>400</f>
        <v>400</v>
      </c>
      <c r="Z6">
        <f>SUM($Y$3:$Y6)</f>
        <v>1500</v>
      </c>
      <c r="AA6">
        <f t="shared" si="0"/>
        <v>0</v>
      </c>
    </row>
    <row r="7" spans="1:27" ht="18" x14ac:dyDescent="0.35">
      <c r="A7">
        <v>6</v>
      </c>
      <c r="B7" s="18" t="s">
        <v>8</v>
      </c>
      <c r="C7" s="13">
        <v>23.176490196758618</v>
      </c>
      <c r="D7" s="13">
        <v>15.990193783387456</v>
      </c>
      <c r="E7" s="13">
        <v>10.172326659597454</v>
      </c>
      <c r="F7" s="13">
        <v>4.596099274877858</v>
      </c>
      <c r="G7" s="13">
        <v>5.0443043202497737</v>
      </c>
      <c r="H7" s="13">
        <v>0</v>
      </c>
      <c r="I7" s="13">
        <v>4.386583733889502</v>
      </c>
      <c r="J7" s="13">
        <v>7.7008357641672136</v>
      </c>
      <c r="K7" s="13">
        <v>7.8863284861312781</v>
      </c>
      <c r="L7" s="13">
        <v>7.7695061368776592</v>
      </c>
      <c r="M7" s="13">
        <v>6.6130402517157272</v>
      </c>
      <c r="N7" s="13">
        <v>6.4804742869422656</v>
      </c>
      <c r="O7" s="13">
        <v>6.4876383383580931</v>
      </c>
      <c r="P7" s="13">
        <v>6.6607800696768082</v>
      </c>
      <c r="Q7" s="13">
        <v>16.171235195452692</v>
      </c>
      <c r="R7" s="13">
        <v>8.0504447748257419</v>
      </c>
      <c r="S7" s="13">
        <v>5.5613424419955271</v>
      </c>
      <c r="T7" s="13">
        <v>10.058810223761684</v>
      </c>
      <c r="U7" s="13">
        <v>13.136840393254806</v>
      </c>
      <c r="V7" s="13">
        <v>14.147265152847089</v>
      </c>
      <c r="W7" s="13">
        <v>13.422330762906631</v>
      </c>
      <c r="Y7" s="3">
        <f>100</f>
        <v>100</v>
      </c>
      <c r="Z7">
        <f>SUM($Y$3:$Y7)</f>
        <v>1600</v>
      </c>
      <c r="AA7">
        <f t="shared" si="0"/>
        <v>0</v>
      </c>
    </row>
    <row r="8" spans="1:27" ht="18" x14ac:dyDescent="0.35">
      <c r="A8">
        <v>7</v>
      </c>
      <c r="B8" s="18" t="s">
        <v>5</v>
      </c>
      <c r="C8" s="13">
        <v>24.818060618875769</v>
      </c>
      <c r="D8" s="13">
        <v>18.801156182483787</v>
      </c>
      <c r="E8" s="13">
        <v>14.445955817865562</v>
      </c>
      <c r="F8" s="13">
        <v>7.8627040679888651</v>
      </c>
      <c r="G8" s="13">
        <v>8.3451108309633568</v>
      </c>
      <c r="H8" s="13">
        <v>4.386583733889502</v>
      </c>
      <c r="I8" s="13">
        <v>0</v>
      </c>
      <c r="J8" s="13">
        <v>5.8144454398213874</v>
      </c>
      <c r="K8" s="13">
        <v>5.6861144365003398</v>
      </c>
      <c r="L8" s="13">
        <v>5.4431065580635067</v>
      </c>
      <c r="M8" s="13">
        <v>7.0504550500053771</v>
      </c>
      <c r="N8" s="13">
        <v>6.3606211568851689</v>
      </c>
      <c r="O8" s="13">
        <v>6.3566107385438224</v>
      </c>
      <c r="P8" s="13">
        <v>5.7682304062712824</v>
      </c>
      <c r="Q8" s="13">
        <v>17.64130378546475</v>
      </c>
      <c r="R8" s="13">
        <v>11.904140135030492</v>
      </c>
      <c r="S8" s="13">
        <v>5.0610592415692341</v>
      </c>
      <c r="T8" s="13">
        <v>11.182256246650304</v>
      </c>
      <c r="U8" s="13">
        <v>17.411331077236898</v>
      </c>
      <c r="V8" s="13">
        <v>18.216046103378787</v>
      </c>
      <c r="W8" s="13">
        <v>17.413120764512705</v>
      </c>
      <c r="Y8" s="3">
        <f>450</f>
        <v>450</v>
      </c>
      <c r="Z8">
        <f>SUM($Y$3:$Y8)</f>
        <v>2050</v>
      </c>
      <c r="AA8">
        <f t="shared" si="0"/>
        <v>0</v>
      </c>
    </row>
    <row r="9" spans="1:27" ht="18" x14ac:dyDescent="0.35">
      <c r="A9">
        <v>8</v>
      </c>
      <c r="B9" s="18" t="s">
        <v>6</v>
      </c>
      <c r="C9" s="13">
        <v>20.24632710441729</v>
      </c>
      <c r="D9" s="13">
        <v>15.918829080830548</v>
      </c>
      <c r="E9" s="13">
        <v>15.205137271112411</v>
      </c>
      <c r="F9" s="13">
        <v>7.7754460722653569</v>
      </c>
      <c r="G9" s="13">
        <v>8.1041077683557976</v>
      </c>
      <c r="H9" s="13">
        <v>7.7008357641672136</v>
      </c>
      <c r="I9" s="13">
        <v>5.8144454398213874</v>
      </c>
      <c r="J9" s="13">
        <v>0</v>
      </c>
      <c r="K9" s="13">
        <v>0.54216795577182053</v>
      </c>
      <c r="L9" s="13">
        <v>0.77124871273508711</v>
      </c>
      <c r="M9" s="13">
        <v>3.6487984617197498</v>
      </c>
      <c r="N9" s="13">
        <v>2.7430932702143029</v>
      </c>
      <c r="O9" s="13">
        <v>2.7268843834895646</v>
      </c>
      <c r="P9" s="13">
        <v>1.6433838970327694</v>
      </c>
      <c r="Q9" s="13">
        <v>13.188803927495597</v>
      </c>
      <c r="R9" s="13">
        <v>15.646082916595317</v>
      </c>
      <c r="S9" s="13">
        <v>10.823479489889264</v>
      </c>
      <c r="T9" s="13">
        <v>16.786478021535007</v>
      </c>
      <c r="U9" s="13">
        <v>20.012274218116652</v>
      </c>
      <c r="V9" s="13">
        <v>21.431281114504792</v>
      </c>
      <c r="W9" s="13">
        <v>20.814861059566645</v>
      </c>
      <c r="Y9" s="3">
        <f>450</f>
        <v>450</v>
      </c>
      <c r="Z9">
        <f>SUM($Y$3:$Y9)</f>
        <v>2500</v>
      </c>
      <c r="AA9">
        <f t="shared" si="0"/>
        <v>0</v>
      </c>
    </row>
    <row r="10" spans="1:27" ht="18" x14ac:dyDescent="0.35">
      <c r="A10">
        <v>9</v>
      </c>
      <c r="B10" s="18" t="s">
        <v>7</v>
      </c>
      <c r="C10" s="13">
        <v>20.714334350465965</v>
      </c>
      <c r="D10" s="13">
        <v>16.459254126391833</v>
      </c>
      <c r="E10" s="13">
        <v>15.653001025215341</v>
      </c>
      <c r="F10" s="13">
        <v>8.213139987237243</v>
      </c>
      <c r="G10" s="13">
        <v>8.5550892738611353</v>
      </c>
      <c r="H10" s="13">
        <v>7.8863284861312781</v>
      </c>
      <c r="I10" s="13">
        <v>5.6861144365003398</v>
      </c>
      <c r="J10" s="13">
        <v>0.54216795577182053</v>
      </c>
      <c r="K10" s="13">
        <v>0</v>
      </c>
      <c r="L10" s="13">
        <v>0.29041509883399008</v>
      </c>
      <c r="M10" s="13">
        <v>4.1792076186678262</v>
      </c>
      <c r="N10" s="13">
        <v>3.2633379623297736</v>
      </c>
      <c r="O10" s="13">
        <v>3.2472932738654872</v>
      </c>
      <c r="P10" s="13">
        <v>2.1437323494308846</v>
      </c>
      <c r="Q10" s="13">
        <v>13.67768504867866</v>
      </c>
      <c r="R10" s="13">
        <v>15.881949452588399</v>
      </c>
      <c r="S10" s="13">
        <v>10.732547160296924</v>
      </c>
      <c r="T10" s="13">
        <v>16.759641346500452</v>
      </c>
      <c r="U10" s="13">
        <v>20.360696265980604</v>
      </c>
      <c r="V10" s="13">
        <v>21.734218653936463</v>
      </c>
      <c r="W10" s="13">
        <v>21.09997269930625</v>
      </c>
      <c r="Y10" s="3">
        <f>500</f>
        <v>500</v>
      </c>
      <c r="Z10">
        <f>SUM($Y$3:$Y10)</f>
        <v>3000</v>
      </c>
      <c r="AA10">
        <f t="shared" si="0"/>
        <v>0</v>
      </c>
    </row>
    <row r="11" spans="1:27" ht="18" x14ac:dyDescent="0.35">
      <c r="A11">
        <v>10</v>
      </c>
      <c r="B11" s="18" t="s">
        <v>9</v>
      </c>
      <c r="C11" s="13">
        <v>20.992784017936842</v>
      </c>
      <c r="D11" s="13">
        <v>16.676077585877184</v>
      </c>
      <c r="E11" s="13">
        <v>15.704550600359235</v>
      </c>
      <c r="F11" s="13">
        <v>8.2605965100224612</v>
      </c>
      <c r="G11" s="13">
        <v>8.6139798028030867</v>
      </c>
      <c r="H11" s="13">
        <v>7.7695061368776592</v>
      </c>
      <c r="I11" s="13">
        <v>5.4431065580635067</v>
      </c>
      <c r="J11" s="13">
        <v>0.77124871273508711</v>
      </c>
      <c r="K11" s="13">
        <v>0.29041509883399008</v>
      </c>
      <c r="L11" s="13">
        <v>0</v>
      </c>
      <c r="M11" s="13">
        <v>4.3412689877740345</v>
      </c>
      <c r="N11" s="13">
        <v>3.4114341218986008</v>
      </c>
      <c r="O11" s="13">
        <v>3.3957064997767605</v>
      </c>
      <c r="P11" s="13">
        <v>2.2763486757032503</v>
      </c>
      <c r="Q11" s="13">
        <v>13.948411887236215</v>
      </c>
      <c r="R11" s="13">
        <v>15.785528135138147</v>
      </c>
      <c r="S11" s="13">
        <v>10.496603115254761</v>
      </c>
      <c r="T11" s="13">
        <v>16.543355561049641</v>
      </c>
      <c r="U11" s="13">
        <v>20.332485076840761</v>
      </c>
      <c r="V11" s="13">
        <v>21.675731876813941</v>
      </c>
      <c r="W11" s="13">
        <v>21.030604102186508</v>
      </c>
      <c r="Y11" s="3">
        <f>100</f>
        <v>100</v>
      </c>
      <c r="Z11">
        <f>SUM($Y$3:$Y11)</f>
        <v>3100</v>
      </c>
      <c r="AA11">
        <f t="shared" si="0"/>
        <v>0</v>
      </c>
    </row>
    <row r="12" spans="1:27" ht="18" x14ac:dyDescent="0.35">
      <c r="A12">
        <v>11</v>
      </c>
      <c r="B12" s="18" t="s">
        <v>10</v>
      </c>
      <c r="C12" s="13">
        <v>17.778511104890086</v>
      </c>
      <c r="D12" s="13">
        <v>12.486706682499603</v>
      </c>
      <c r="E12" s="13">
        <v>11.90288386063126</v>
      </c>
      <c r="F12" s="13">
        <v>4.7061249046713112</v>
      </c>
      <c r="G12" s="13">
        <v>4.9132248425353149</v>
      </c>
      <c r="H12" s="13">
        <v>6.6130402517157272</v>
      </c>
      <c r="I12" s="13">
        <v>7.0504550500053771</v>
      </c>
      <c r="J12" s="13">
        <v>3.6487984617197498</v>
      </c>
      <c r="K12" s="13">
        <v>4.1792076186678262</v>
      </c>
      <c r="L12" s="13">
        <v>4.3412689877740345</v>
      </c>
      <c r="M12" s="13">
        <v>0</v>
      </c>
      <c r="N12" s="13">
        <v>0.94791679271287244</v>
      </c>
      <c r="O12" s="13">
        <v>0.96224545843563081</v>
      </c>
      <c r="P12" s="13">
        <v>2.0834332950669556</v>
      </c>
      <c r="Q12" s="13">
        <v>10.601092627753371</v>
      </c>
      <c r="R12" s="13">
        <v>13.721650861852249</v>
      </c>
      <c r="S12" s="13">
        <v>11.316892657225257</v>
      </c>
      <c r="T12" s="13">
        <v>16.608477134050155</v>
      </c>
      <c r="U12" s="13">
        <v>17.274352724769169</v>
      </c>
      <c r="V12" s="13">
        <v>18.967750687285871</v>
      </c>
      <c r="W12" s="13">
        <v>18.472773044946141</v>
      </c>
      <c r="Y12" s="3">
        <f>650</f>
        <v>650</v>
      </c>
      <c r="Z12">
        <f>SUM($Y$3:$Y12)</f>
        <v>3750</v>
      </c>
      <c r="AA12">
        <f t="shared" si="0"/>
        <v>0</v>
      </c>
    </row>
    <row r="13" spans="1:27" ht="18" x14ac:dyDescent="0.35">
      <c r="A13">
        <v>12</v>
      </c>
      <c r="B13" s="18" t="s">
        <v>11</v>
      </c>
      <c r="C13" s="13">
        <v>18.545985183286483</v>
      </c>
      <c r="D13" s="13">
        <v>13.42666625223959</v>
      </c>
      <c r="E13" s="13">
        <v>12.607459351164652</v>
      </c>
      <c r="F13" s="13">
        <v>5.2688016001921429</v>
      </c>
      <c r="G13" s="13">
        <v>5.5369966034665961</v>
      </c>
      <c r="H13" s="13">
        <v>6.4804742869422656</v>
      </c>
      <c r="I13" s="13">
        <v>6.3606211568851689</v>
      </c>
      <c r="J13" s="13">
        <v>2.7430932702143029</v>
      </c>
      <c r="K13" s="13">
        <v>3.2633379623297736</v>
      </c>
      <c r="L13" s="13">
        <v>3.4114341218986008</v>
      </c>
      <c r="M13" s="13">
        <v>0.94791679271287244</v>
      </c>
      <c r="N13" s="13">
        <v>0</v>
      </c>
      <c r="O13" s="13">
        <v>1.6449519421197208E-2</v>
      </c>
      <c r="P13" s="13">
        <v>1.1406262078561391</v>
      </c>
      <c r="Q13" s="13">
        <v>11.37608355456182</v>
      </c>
      <c r="R13" s="13">
        <v>13.929616599252965</v>
      </c>
      <c r="S13" s="13">
        <v>10.846217051353182</v>
      </c>
      <c r="T13" s="13">
        <v>16.33571906834171</v>
      </c>
      <c r="U13" s="13">
        <v>17.766678667073855</v>
      </c>
      <c r="V13" s="13">
        <v>19.36841329473646</v>
      </c>
      <c r="W13" s="13">
        <v>18.831902476381028</v>
      </c>
      <c r="Y13" s="3">
        <f>600</f>
        <v>600</v>
      </c>
      <c r="Z13">
        <f>SUM($Y$3:$Y13)</f>
        <v>4350</v>
      </c>
      <c r="AA13">
        <f t="shared" si="0"/>
        <v>0</v>
      </c>
    </row>
    <row r="14" spans="1:27" ht="18" x14ac:dyDescent="0.35">
      <c r="A14">
        <v>13</v>
      </c>
      <c r="B14" s="18" t="s">
        <v>12</v>
      </c>
      <c r="C14" s="13">
        <v>18.553013035028791</v>
      </c>
      <c r="D14" s="13">
        <v>13.439837553342516</v>
      </c>
      <c r="E14" s="13">
        <v>12.623614337703753</v>
      </c>
      <c r="F14" s="13">
        <v>5.2842952553244924</v>
      </c>
      <c r="G14" s="13">
        <v>5.55285853959123</v>
      </c>
      <c r="H14" s="13">
        <v>6.4876383383580931</v>
      </c>
      <c r="I14" s="13">
        <v>6.3566107385438224</v>
      </c>
      <c r="J14" s="13">
        <v>2.7268843834895646</v>
      </c>
      <c r="K14" s="13">
        <v>3.2472932738654872</v>
      </c>
      <c r="L14" s="13">
        <v>3.3957064997767605</v>
      </c>
      <c r="M14" s="13">
        <v>0.96224545843563081</v>
      </c>
      <c r="N14" s="13">
        <v>1.6449519421197208E-2</v>
      </c>
      <c r="O14" s="13">
        <v>0</v>
      </c>
      <c r="P14" s="13">
        <v>1.1253490213107331</v>
      </c>
      <c r="Q14" s="13">
        <v>11.383453686740545</v>
      </c>
      <c r="R14" s="13">
        <v>13.941098461956951</v>
      </c>
      <c r="S14" s="13">
        <v>10.846814978334097</v>
      </c>
      <c r="T14" s="13">
        <v>16.339851805263638</v>
      </c>
      <c r="U14" s="13">
        <v>17.781240081279424</v>
      </c>
      <c r="V14" s="13">
        <v>19.382043319839589</v>
      </c>
      <c r="W14" s="13">
        <v>18.845087760514492</v>
      </c>
      <c r="Y14" s="3">
        <f>1000</f>
        <v>1000</v>
      </c>
      <c r="Z14">
        <f>SUM($Y$3:$Y14)</f>
        <v>5350</v>
      </c>
      <c r="AA14">
        <f t="shared" si="0"/>
        <v>1</v>
      </c>
    </row>
    <row r="15" spans="1:27" ht="18" x14ac:dyDescent="0.35">
      <c r="A15">
        <v>14</v>
      </c>
      <c r="B15" s="18" t="s">
        <v>13</v>
      </c>
      <c r="C15" s="13">
        <v>19.39420372481834</v>
      </c>
      <c r="D15" s="13">
        <v>14.530396547591913</v>
      </c>
      <c r="E15" s="13">
        <v>13.583543213452664</v>
      </c>
      <c r="F15" s="13">
        <v>6.1721703861262425</v>
      </c>
      <c r="G15" s="13">
        <v>6.4844685841450538</v>
      </c>
      <c r="H15" s="13">
        <v>6.6607800696768082</v>
      </c>
      <c r="I15" s="13">
        <v>5.7682304062712824</v>
      </c>
      <c r="J15" s="13">
        <v>1.6433838970327694</v>
      </c>
      <c r="K15" s="13">
        <v>2.1437323494308846</v>
      </c>
      <c r="L15" s="13">
        <v>2.2763486757032503</v>
      </c>
      <c r="M15" s="13">
        <v>2.0834332950669556</v>
      </c>
      <c r="N15" s="13">
        <v>1.1406262078561391</v>
      </c>
      <c r="O15" s="13">
        <v>1.1253490213107331</v>
      </c>
      <c r="P15" s="13">
        <v>0</v>
      </c>
      <c r="Q15" s="13">
        <v>12.249880717763698</v>
      </c>
      <c r="R15" s="13">
        <v>14.407106660867113</v>
      </c>
      <c r="S15" s="13">
        <v>10.519226673469978</v>
      </c>
      <c r="T15" s="13">
        <v>16.234529709211785</v>
      </c>
      <c r="U15" s="13">
        <v>18.530054525363223</v>
      </c>
      <c r="V15" s="13">
        <v>20.033880984811169</v>
      </c>
      <c r="W15" s="13">
        <v>19.454766922013995</v>
      </c>
      <c r="Y15" s="3">
        <f>400</f>
        <v>400</v>
      </c>
      <c r="Z15">
        <f>SUM($Y$3:$Y15)</f>
        <v>5750</v>
      </c>
      <c r="AA15">
        <f t="shared" si="0"/>
        <v>1</v>
      </c>
    </row>
    <row r="16" spans="1:27" ht="18" x14ac:dyDescent="0.35">
      <c r="A16">
        <v>15</v>
      </c>
      <c r="B16" s="18" t="s">
        <v>14</v>
      </c>
      <c r="C16" s="13">
        <v>7.1776109596434816</v>
      </c>
      <c r="D16" s="13">
        <v>6.0439093474782428</v>
      </c>
      <c r="E16" s="13">
        <v>14.514377127490503</v>
      </c>
      <c r="F16" s="13">
        <v>11.946813611034536</v>
      </c>
      <c r="G16" s="13">
        <v>11.645052004429786</v>
      </c>
      <c r="H16" s="13">
        <v>16.171235195452692</v>
      </c>
      <c r="I16" s="13">
        <v>17.64130378546475</v>
      </c>
      <c r="J16" s="13">
        <v>13.188803927495597</v>
      </c>
      <c r="K16" s="13">
        <v>13.67768504867866</v>
      </c>
      <c r="L16" s="13">
        <v>13.948411887236215</v>
      </c>
      <c r="M16" s="13">
        <v>10.601092627753371</v>
      </c>
      <c r="N16" s="13">
        <v>11.37608355456182</v>
      </c>
      <c r="O16" s="13">
        <v>11.383453686740545</v>
      </c>
      <c r="P16" s="13">
        <v>12.249880717763698</v>
      </c>
      <c r="Q16" s="13">
        <v>0</v>
      </c>
      <c r="R16" s="13">
        <v>20.677270293032706</v>
      </c>
      <c r="S16" s="13">
        <v>21.53314932652755</v>
      </c>
      <c r="T16" s="13">
        <v>26.006389835971746</v>
      </c>
      <c r="U16" s="13">
        <v>21.288523123020124</v>
      </c>
      <c r="V16" s="13">
        <v>23.704374257710789</v>
      </c>
      <c r="W16" s="13">
        <v>23.655733156478217</v>
      </c>
      <c r="Y16" s="3">
        <f>300</f>
        <v>300</v>
      </c>
      <c r="Z16">
        <f>SUM($Y$3:$Y16)</f>
        <v>6050</v>
      </c>
      <c r="AA16">
        <f t="shared" si="0"/>
        <v>1</v>
      </c>
    </row>
    <row r="17" spans="1:27" ht="18" x14ac:dyDescent="0.35">
      <c r="A17">
        <v>16</v>
      </c>
      <c r="B17" s="18" t="s">
        <v>15</v>
      </c>
      <c r="C17" s="13">
        <v>26.810939066483336</v>
      </c>
      <c r="D17" s="13">
        <v>18.055553762173915</v>
      </c>
      <c r="E17" s="13">
        <v>8.0551896959264262</v>
      </c>
      <c r="F17" s="13">
        <v>9.4855721422208124</v>
      </c>
      <c r="G17" s="13">
        <v>9.5712664370194442</v>
      </c>
      <c r="H17" s="13">
        <v>8.0504447748257419</v>
      </c>
      <c r="I17" s="13">
        <v>11.904140135030492</v>
      </c>
      <c r="J17" s="13">
        <v>15.646082916595317</v>
      </c>
      <c r="K17" s="13">
        <v>15.881949452588399</v>
      </c>
      <c r="L17" s="13">
        <v>15.785528135138147</v>
      </c>
      <c r="M17" s="13">
        <v>13.721650861852249</v>
      </c>
      <c r="N17" s="13">
        <v>13.929616599252965</v>
      </c>
      <c r="O17" s="13">
        <v>13.941098461956951</v>
      </c>
      <c r="P17" s="13">
        <v>14.407106660867113</v>
      </c>
      <c r="Q17" s="13">
        <v>20.677270293032706</v>
      </c>
      <c r="R17" s="13">
        <v>0</v>
      </c>
      <c r="S17" s="13">
        <v>9.3722683647101768</v>
      </c>
      <c r="T17" s="13">
        <v>8.1027501881731414</v>
      </c>
      <c r="U17" s="13">
        <v>6.2457889710075003</v>
      </c>
      <c r="V17" s="13">
        <v>6.3865728168235796</v>
      </c>
      <c r="W17" s="13">
        <v>5.5246984324200143</v>
      </c>
      <c r="Y17" s="3">
        <f>550</f>
        <v>550</v>
      </c>
      <c r="Z17">
        <f>SUM($Y$3:$Y17)</f>
        <v>6600</v>
      </c>
      <c r="AA17">
        <f t="shared" si="0"/>
        <v>1</v>
      </c>
    </row>
    <row r="18" spans="1:27" ht="18" x14ac:dyDescent="0.35">
      <c r="A18">
        <v>17</v>
      </c>
      <c r="B18" s="18" t="s">
        <v>16</v>
      </c>
      <c r="C18" s="13">
        <v>28.619260091964954</v>
      </c>
      <c r="D18" s="13">
        <v>21.542294366277137</v>
      </c>
      <c r="E18" s="13">
        <v>14.680160155676631</v>
      </c>
      <c r="F18" s="13">
        <v>10.156014909566318</v>
      </c>
      <c r="G18" s="13">
        <v>10.598858020592376</v>
      </c>
      <c r="H18" s="13">
        <v>5.5613424419955271</v>
      </c>
      <c r="I18" s="13">
        <v>5.0610592415692341</v>
      </c>
      <c r="J18" s="13">
        <v>10.823479489889264</v>
      </c>
      <c r="K18" s="13">
        <v>10.732547160296924</v>
      </c>
      <c r="L18" s="13">
        <v>10.496603115254761</v>
      </c>
      <c r="M18" s="13">
        <v>11.316892657225257</v>
      </c>
      <c r="N18" s="13">
        <v>10.846217051353182</v>
      </c>
      <c r="O18" s="13">
        <v>10.846814978334097</v>
      </c>
      <c r="P18" s="13">
        <v>10.519226673469978</v>
      </c>
      <c r="Q18" s="13">
        <v>21.53314932652755</v>
      </c>
      <c r="R18" s="13">
        <v>9.3722683647101768</v>
      </c>
      <c r="S18" s="13">
        <v>0</v>
      </c>
      <c r="T18" s="13">
        <v>6.2057914392684497</v>
      </c>
      <c r="U18" s="13">
        <v>15.55358183114248</v>
      </c>
      <c r="V18" s="13">
        <v>15.65999130985802</v>
      </c>
      <c r="W18" s="13">
        <v>14.71204727792483</v>
      </c>
      <c r="Y18" s="3">
        <f>450</f>
        <v>450</v>
      </c>
      <c r="Z18">
        <f>SUM($Y$3:$Y18)</f>
        <v>7050</v>
      </c>
      <c r="AA18">
        <f t="shared" si="0"/>
        <v>1</v>
      </c>
    </row>
    <row r="19" spans="1:27" ht="18" x14ac:dyDescent="0.35">
      <c r="A19">
        <v>18</v>
      </c>
      <c r="B19" s="18" t="s">
        <v>17</v>
      </c>
      <c r="C19" s="13">
        <v>32.808275670525283</v>
      </c>
      <c r="D19" s="13">
        <v>24.770699702477405</v>
      </c>
      <c r="E19" s="13">
        <v>15.785993880692519</v>
      </c>
      <c r="F19" s="13">
        <v>14.067901895304646</v>
      </c>
      <c r="G19" s="13">
        <v>14.398663211461306</v>
      </c>
      <c r="H19" s="13">
        <v>10.058810223761684</v>
      </c>
      <c r="I19" s="13">
        <v>11.182256246650304</v>
      </c>
      <c r="J19" s="13">
        <v>16.786478021535007</v>
      </c>
      <c r="K19" s="13">
        <v>16.759641346500452</v>
      </c>
      <c r="L19" s="13">
        <v>16.543355561049641</v>
      </c>
      <c r="M19" s="13">
        <v>16.608477134050155</v>
      </c>
      <c r="N19" s="13">
        <v>16.33571906834171</v>
      </c>
      <c r="O19" s="13">
        <v>16.339851805263638</v>
      </c>
      <c r="P19" s="13">
        <v>16.234529709211785</v>
      </c>
      <c r="Q19" s="13">
        <v>26.006389835971746</v>
      </c>
      <c r="R19" s="13">
        <v>8.1027501881731414</v>
      </c>
      <c r="S19" s="13">
        <v>6.2057914392684497</v>
      </c>
      <c r="T19" s="13">
        <v>0</v>
      </c>
      <c r="U19" s="13">
        <v>13.862731243773764</v>
      </c>
      <c r="V19" s="13">
        <v>12.940626861116996</v>
      </c>
      <c r="W19" s="13">
        <v>11.89972586143916</v>
      </c>
      <c r="Y19" s="3">
        <f>300</f>
        <v>300</v>
      </c>
      <c r="Z19">
        <f>SUM($Y$3:$Y19)</f>
        <v>7350</v>
      </c>
      <c r="AA19">
        <f t="shared" si="0"/>
        <v>1</v>
      </c>
    </row>
    <row r="20" spans="1:27" ht="18" x14ac:dyDescent="0.35">
      <c r="A20">
        <v>19</v>
      </c>
      <c r="B20" s="18" t="s">
        <v>38</v>
      </c>
      <c r="C20" s="13">
        <v>26.228713074436829</v>
      </c>
      <c r="D20" s="13">
        <v>17.057657609256584</v>
      </c>
      <c r="E20" s="13">
        <v>6.774377191613639</v>
      </c>
      <c r="F20" s="13">
        <v>12.571930277292823</v>
      </c>
      <c r="G20" s="13">
        <v>12.414463353584509</v>
      </c>
      <c r="H20" s="13">
        <v>13.136840393254806</v>
      </c>
      <c r="I20" s="13">
        <v>17.411331077236898</v>
      </c>
      <c r="J20" s="13">
        <v>20.012274218116652</v>
      </c>
      <c r="K20" s="13">
        <v>20.360696265980604</v>
      </c>
      <c r="L20" s="13">
        <v>20.332485076840761</v>
      </c>
      <c r="M20" s="13">
        <v>17.274352724769169</v>
      </c>
      <c r="N20" s="13">
        <v>17.766678667073855</v>
      </c>
      <c r="O20" s="13">
        <v>17.781240081279424</v>
      </c>
      <c r="P20" s="13">
        <v>18.530054525363223</v>
      </c>
      <c r="Q20" s="13">
        <v>21.288523123020124</v>
      </c>
      <c r="R20" s="13">
        <v>6.2457889710075003</v>
      </c>
      <c r="S20" s="13">
        <v>15.55358183114248</v>
      </c>
      <c r="T20" s="13">
        <v>13.862731243773764</v>
      </c>
      <c r="U20" s="13">
        <v>0</v>
      </c>
      <c r="V20" s="13">
        <v>2.5989370340338684</v>
      </c>
      <c r="W20" s="13">
        <v>3.0620498048652331</v>
      </c>
      <c r="Y20" s="3">
        <f>400</f>
        <v>400</v>
      </c>
      <c r="Z20">
        <f>SUM($Y$3:$Y20)</f>
        <v>7750</v>
      </c>
      <c r="AA20">
        <f t="shared" si="0"/>
        <v>1</v>
      </c>
    </row>
    <row r="21" spans="1:27" ht="18" x14ac:dyDescent="0.35">
      <c r="A21">
        <v>20</v>
      </c>
      <c r="B21" s="18" t="s">
        <v>18</v>
      </c>
      <c r="C21" s="13">
        <v>28.789972813033437</v>
      </c>
      <c r="D21" s="13">
        <v>19.623088048670105</v>
      </c>
      <c r="E21" s="13">
        <v>9.2292439079014752</v>
      </c>
      <c r="F21" s="13">
        <v>14.325200731791773</v>
      </c>
      <c r="G21" s="13">
        <v>14.2338297752593</v>
      </c>
      <c r="H21" s="13">
        <v>14.147265152847089</v>
      </c>
      <c r="I21" s="13">
        <v>18.216046103378787</v>
      </c>
      <c r="J21" s="13">
        <v>21.431281114504792</v>
      </c>
      <c r="K21" s="13">
        <v>21.734218653936463</v>
      </c>
      <c r="L21" s="13">
        <v>21.675731876813941</v>
      </c>
      <c r="M21" s="13">
        <v>18.967750687285871</v>
      </c>
      <c r="N21" s="13">
        <v>19.36841329473646</v>
      </c>
      <c r="O21" s="13">
        <v>19.382043319839589</v>
      </c>
      <c r="P21" s="13">
        <v>20.033880984811169</v>
      </c>
      <c r="Q21" s="13">
        <v>23.704374257710789</v>
      </c>
      <c r="R21" s="13">
        <v>6.3865728168235796</v>
      </c>
      <c r="S21" s="13">
        <v>15.65999130985802</v>
      </c>
      <c r="T21" s="13">
        <v>12.940626861116996</v>
      </c>
      <c r="U21" s="13">
        <v>2.5989370340338684</v>
      </c>
      <c r="V21" s="13">
        <v>0</v>
      </c>
      <c r="W21" s="13">
        <v>1.0410813522975555</v>
      </c>
      <c r="Y21" s="3">
        <f>450</f>
        <v>450</v>
      </c>
      <c r="Z21">
        <f>SUM($Y$3:$Y21)</f>
        <v>8200</v>
      </c>
      <c r="AA21">
        <f t="shared" si="0"/>
        <v>1</v>
      </c>
    </row>
    <row r="22" spans="1:27" ht="18" x14ac:dyDescent="0.35">
      <c r="A22">
        <v>21</v>
      </c>
      <c r="B22" s="18" t="s">
        <v>19</v>
      </c>
      <c r="C22" s="13">
        <v>28.938730406061456</v>
      </c>
      <c r="D22" s="13">
        <v>19.793563539094425</v>
      </c>
      <c r="E22" s="13">
        <v>9.2913379537724907</v>
      </c>
      <c r="F22" s="13">
        <v>13.881895629191142</v>
      </c>
      <c r="G22" s="13">
        <v>13.822802899799379</v>
      </c>
      <c r="H22" s="13">
        <v>13.422330762906631</v>
      </c>
      <c r="I22" s="13">
        <v>17.413120764512705</v>
      </c>
      <c r="J22" s="13">
        <v>20.814861059566645</v>
      </c>
      <c r="K22" s="13">
        <v>21.09997269930625</v>
      </c>
      <c r="L22" s="13">
        <v>21.030604102186508</v>
      </c>
      <c r="M22" s="13">
        <v>18.472773044946141</v>
      </c>
      <c r="N22" s="13">
        <v>18.831902476381028</v>
      </c>
      <c r="O22" s="13">
        <v>18.845087760514492</v>
      </c>
      <c r="P22" s="13">
        <v>19.454766922013995</v>
      </c>
      <c r="Q22" s="13">
        <v>23.655733156478217</v>
      </c>
      <c r="R22" s="13">
        <v>5.5246984324200143</v>
      </c>
      <c r="S22" s="13">
        <v>14.71204727792483</v>
      </c>
      <c r="T22" s="13">
        <v>11.89972586143916</v>
      </c>
      <c r="U22" s="13">
        <v>3.0620498048652331</v>
      </c>
      <c r="V22" s="13">
        <v>1.0410813522975555</v>
      </c>
      <c r="W22" s="13">
        <v>0</v>
      </c>
      <c r="Y22" s="3">
        <f>500</f>
        <v>500</v>
      </c>
      <c r="Z22">
        <f>SUM($Y$3:$Y22)</f>
        <v>8700</v>
      </c>
      <c r="AA22">
        <f t="shared" si="0"/>
        <v>1</v>
      </c>
    </row>
    <row r="24" spans="1:27" x14ac:dyDescent="0.3">
      <c r="B24" s="14" t="s">
        <v>28</v>
      </c>
      <c r="C24" s="7">
        <v>1</v>
      </c>
      <c r="D24" s="7">
        <v>15</v>
      </c>
      <c r="E24" s="7">
        <v>5</v>
      </c>
      <c r="F24" s="7">
        <v>4</v>
      </c>
      <c r="G24" s="7">
        <v>11</v>
      </c>
      <c r="H24" s="7">
        <v>12</v>
      </c>
      <c r="I24" s="7">
        <v>13</v>
      </c>
      <c r="J24" s="7">
        <v>14</v>
      </c>
      <c r="K24" s="7">
        <v>8</v>
      </c>
      <c r="L24" s="7">
        <v>9</v>
      </c>
      <c r="M24" s="7">
        <v>10</v>
      </c>
      <c r="N24" s="7">
        <v>7</v>
      </c>
      <c r="O24" s="7">
        <v>6</v>
      </c>
      <c r="P24" s="7">
        <v>17</v>
      </c>
      <c r="Q24" s="7">
        <v>18</v>
      </c>
      <c r="R24" s="7">
        <v>16</v>
      </c>
      <c r="S24" s="7">
        <v>21</v>
      </c>
      <c r="T24" s="7">
        <v>20</v>
      </c>
      <c r="U24" s="7">
        <v>19</v>
      </c>
      <c r="V24" s="7">
        <v>3</v>
      </c>
      <c r="W24" s="7">
        <v>2</v>
      </c>
    </row>
    <row r="25" spans="1:27" x14ac:dyDescent="0.3">
      <c r="B25" s="15" t="s">
        <v>31</v>
      </c>
      <c r="C25" s="1" cm="1">
        <f t="array" ref="C25">INDEX($C$2:$W$22,W24,C24)</f>
        <v>9.1719861832773262</v>
      </c>
      <c r="D25" s="1" cm="1">
        <f t="array" ref="D25">INDEX($C$2:$W$22,D24,C24)</f>
        <v>7.1776109596434816</v>
      </c>
      <c r="E25" s="1" cm="1">
        <f t="array" ref="E25">INDEX($C$2:$W$22,E24,D24)</f>
        <v>11.645052004429786</v>
      </c>
      <c r="F25" s="1" cm="1">
        <f t="array" ref="F25">INDEX($C$2:$W$22,F24,E24)</f>
        <v>0.48406166722202798</v>
      </c>
      <c r="G25" s="1" cm="1">
        <f t="array" ref="G25">INDEX($C$2:$W$22,G24,F24)</f>
        <v>4.7061249046713112</v>
      </c>
      <c r="H25" s="1" cm="1">
        <f t="array" ref="H25">INDEX($C$2:$W$22,H24,G24)</f>
        <v>0.94791679271287244</v>
      </c>
      <c r="I25" s="1" cm="1">
        <f t="array" ref="I25">INDEX($C$2:$W$22,I24,H24)</f>
        <v>1.6449519421197208E-2</v>
      </c>
      <c r="J25" s="1" cm="1">
        <f t="array" ref="J25">INDEX($C$2:$W$22,J24,I24)</f>
        <v>1.1253490213107331</v>
      </c>
      <c r="K25" s="1" cm="1">
        <f t="array" ref="K25">INDEX($C$2:$W$22,K24,J24)</f>
        <v>1.6433838970327694</v>
      </c>
      <c r="L25" s="1" cm="1">
        <f t="array" ref="L25">INDEX($C$2:$W$22,L24,K24)</f>
        <v>0.54216795577182053</v>
      </c>
      <c r="M25" s="1" cm="1">
        <f t="array" ref="M25">INDEX($C$2:$W$22,M24,L24)</f>
        <v>0.29041509883399008</v>
      </c>
      <c r="N25" s="1" cm="1">
        <f t="array" ref="N25">INDEX($C$2:$W$22,N24,M24)</f>
        <v>5.4431065580635067</v>
      </c>
      <c r="O25" s="1" cm="1">
        <f t="array" ref="O25">INDEX($C$2:$W$22,O24,N24)</f>
        <v>4.386583733889502</v>
      </c>
      <c r="P25" s="1" cm="1">
        <f t="array" ref="P25">INDEX($C$2:$W$22,P24,O24)</f>
        <v>5.5613424419955271</v>
      </c>
      <c r="Q25" s="1" cm="1">
        <f t="array" ref="Q25">INDEX($C$2:$W$22,Q24,P24)</f>
        <v>6.2057914392684497</v>
      </c>
      <c r="R25" s="1" cm="1">
        <f t="array" ref="R25">INDEX($C$2:$W$22,R24,Q24)</f>
        <v>8.1027501881731414</v>
      </c>
      <c r="S25" s="1" cm="1">
        <f t="array" ref="S25">INDEX($C$2:$W$22,S24,R24)</f>
        <v>5.5246984324200143</v>
      </c>
      <c r="T25" s="1" cm="1">
        <f t="array" ref="T25">INDEX($C$2:$W$22,T24,S24)</f>
        <v>1.0410813522975555</v>
      </c>
      <c r="U25" s="1" cm="1">
        <f t="array" ref="U25">INDEX($C$2:$W$22,U24,T24)</f>
        <v>2.5989370340338684</v>
      </c>
      <c r="V25" s="1" cm="1">
        <f t="array" ref="V25">INDEX($C$2:$W$22,V24,U24)</f>
        <v>6.774377191613639</v>
      </c>
      <c r="W25" s="1" cm="1">
        <f t="array" ref="W25">INDEX($C$2:$W$22,W24,V24)</f>
        <v>10.551031715150282</v>
      </c>
    </row>
    <row r="26" spans="1:27" x14ac:dyDescent="0.3">
      <c r="B26" s="15"/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  <c r="L26">
        <v>10</v>
      </c>
      <c r="M26">
        <v>11</v>
      </c>
      <c r="N26">
        <v>12</v>
      </c>
      <c r="O26">
        <v>13</v>
      </c>
      <c r="P26">
        <v>14</v>
      </c>
      <c r="Q26">
        <v>15</v>
      </c>
      <c r="R26">
        <v>16</v>
      </c>
      <c r="S26">
        <v>17</v>
      </c>
      <c r="T26">
        <v>18</v>
      </c>
      <c r="U26">
        <v>19</v>
      </c>
      <c r="V26">
        <v>20</v>
      </c>
      <c r="W26">
        <v>21</v>
      </c>
    </row>
    <row r="27" spans="1:27" x14ac:dyDescent="0.3">
      <c r="B27" s="15" t="s">
        <v>32</v>
      </c>
      <c r="E27">
        <v>1</v>
      </c>
      <c r="F27">
        <v>2</v>
      </c>
      <c r="G27">
        <v>3</v>
      </c>
      <c r="H27">
        <v>19</v>
      </c>
      <c r="I27">
        <v>20</v>
      </c>
      <c r="J27">
        <v>21</v>
      </c>
      <c r="K27">
        <v>16</v>
      </c>
      <c r="L27">
        <v>18</v>
      </c>
      <c r="M27">
        <v>17</v>
      </c>
      <c r="N27">
        <v>7</v>
      </c>
      <c r="O27">
        <v>6</v>
      </c>
      <c r="P27">
        <v>4</v>
      </c>
      <c r="Q27">
        <v>5</v>
      </c>
      <c r="R27">
        <v>11</v>
      </c>
      <c r="S27">
        <v>12</v>
      </c>
      <c r="T27">
        <v>13</v>
      </c>
      <c r="U27">
        <v>14</v>
      </c>
      <c r="V27">
        <v>10</v>
      </c>
      <c r="W27">
        <v>9</v>
      </c>
      <c r="X27">
        <v>8</v>
      </c>
      <c r="Y27">
        <v>15</v>
      </c>
    </row>
    <row r="28" spans="1:27" x14ac:dyDescent="0.3">
      <c r="B28" s="19" t="s">
        <v>33</v>
      </c>
      <c r="C28" s="20">
        <f>SUM(C25:W25)</f>
        <v>93.940218091232808</v>
      </c>
      <c r="E28" cm="1">
        <f t="array" ref="E28">INDEX(C2:W22,Y27,E27)</f>
        <v>7.1776109596434816</v>
      </c>
      <c r="F28" s="1" cm="1">
        <f t="array" ref="F28">INDEX($C2:$W22,F27,E27)</f>
        <v>9.1719861832773262</v>
      </c>
      <c r="G28" s="1" cm="1">
        <f t="array" ref="G28">INDEX($C2:$W22,G27,F27)</f>
        <v>10.551031715150282</v>
      </c>
      <c r="H28" s="1" cm="1">
        <f t="array" ref="H28">INDEX($C2:$W22,H27,G27)</f>
        <v>6.774377191613639</v>
      </c>
      <c r="I28" s="1" cm="1">
        <f t="array" ref="I28">INDEX($C2:$W22,I27,H27)</f>
        <v>2.5989370340338684</v>
      </c>
      <c r="J28" s="1" cm="1">
        <f t="array" ref="J28">INDEX($C2:$W22,J27,I27)</f>
        <v>1.0410813522975555</v>
      </c>
      <c r="K28" s="1" cm="1">
        <f t="array" ref="K28">INDEX($C2:$W22,K27,J27)</f>
        <v>5.5246984324200143</v>
      </c>
      <c r="L28" s="1" cm="1">
        <f t="array" ref="L28">INDEX($C2:$W22,L27,K27)</f>
        <v>8.1027501881731414</v>
      </c>
      <c r="M28" s="1" cm="1">
        <f t="array" ref="M28">INDEX($C2:$W22,M27,L27)</f>
        <v>6.2057914392684497</v>
      </c>
      <c r="N28" s="1" cm="1">
        <f t="array" ref="N28">INDEX($C2:$W22,N27,M27)</f>
        <v>5.0610592415692341</v>
      </c>
      <c r="O28" s="1" cm="1">
        <f t="array" ref="O28">INDEX($C2:$W22,O27,N27)</f>
        <v>4.386583733889502</v>
      </c>
      <c r="P28" s="1" cm="1">
        <f t="array" ref="P28">INDEX($C2:$W22,P27,O27)</f>
        <v>4.596099274877858</v>
      </c>
      <c r="Q28" s="1" cm="1">
        <f t="array" ref="Q28">INDEX($C2:$W22,Q27,P27)</f>
        <v>0.48406166722202798</v>
      </c>
      <c r="R28" s="1" cm="1">
        <f t="array" ref="R28">INDEX($C2:$W22,R27,Q27)</f>
        <v>4.9132248425353149</v>
      </c>
      <c r="S28" s="1" cm="1">
        <f t="array" ref="S28">INDEX($C2:$W22,S27,R27)</f>
        <v>0.94791679271287244</v>
      </c>
      <c r="T28" s="1" cm="1">
        <f t="array" ref="T28">INDEX($C2:$W22,T27,S27)</f>
        <v>1.6449519421197208E-2</v>
      </c>
      <c r="U28" s="1" cm="1">
        <f t="array" ref="U28">INDEX($C2:$W22,U27,T27)</f>
        <v>1.1253490213107331</v>
      </c>
      <c r="V28" s="1" cm="1">
        <f t="array" ref="V28">INDEX($C2:$W22,V27,U27)</f>
        <v>2.2763486757032503</v>
      </c>
      <c r="W28" s="1" cm="1">
        <f t="array" ref="W28">INDEX($C2:$W22,W27,V27)</f>
        <v>0.29041509883399008</v>
      </c>
      <c r="X28" s="1" cm="1">
        <f t="array" ref="X28">INDEX($C2:$W22,X27,W27)</f>
        <v>0.54216795577182053</v>
      </c>
      <c r="Y28" s="1" cm="1">
        <f t="array" ref="Y28">INDEX($C2:$W22,Y27,X27)</f>
        <v>13.188803927495597</v>
      </c>
    </row>
    <row r="29" spans="1:27" x14ac:dyDescent="0.3">
      <c r="B29" s="16" t="s">
        <v>23</v>
      </c>
      <c r="C29" s="5">
        <v>1</v>
      </c>
      <c r="D29" s="5">
        <f>IF(C24=C29,1,0)</f>
        <v>1</v>
      </c>
      <c r="E29" s="5">
        <f>IF(E27=1,1,0)</f>
        <v>1</v>
      </c>
      <c r="F29" s="10">
        <f>SUM(E28:Y28)</f>
        <v>94.976744247221148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6"/>
    </row>
    <row r="30" spans="1:27" x14ac:dyDescent="0.3">
      <c r="B30" s="9"/>
    </row>
    <row r="31" spans="1:27" x14ac:dyDescent="0.3">
      <c r="B31" s="9"/>
    </row>
    <row r="32" spans="1:27" x14ac:dyDescent="0.3">
      <c r="B32" s="14" t="s">
        <v>29</v>
      </c>
      <c r="C32" s="7">
        <v>1</v>
      </c>
      <c r="D32" s="7">
        <v>6</v>
      </c>
      <c r="E32" s="7">
        <v>7</v>
      </c>
      <c r="F32" s="7">
        <v>17</v>
      </c>
      <c r="G32" s="7">
        <v>18</v>
      </c>
      <c r="H32" s="7">
        <v>16</v>
      </c>
      <c r="I32" s="7">
        <v>21</v>
      </c>
      <c r="J32" s="7">
        <v>20</v>
      </c>
      <c r="K32" s="7">
        <v>19</v>
      </c>
      <c r="L32" s="7">
        <v>3</v>
      </c>
      <c r="M32" s="7">
        <v>4</v>
      </c>
      <c r="N32" s="7">
        <v>5</v>
      </c>
      <c r="O32" s="7">
        <v>2</v>
      </c>
      <c r="P32" s="23">
        <v>11</v>
      </c>
      <c r="Q32" s="7">
        <v>12</v>
      </c>
      <c r="R32" s="7">
        <v>13</v>
      </c>
      <c r="S32" s="7">
        <v>14</v>
      </c>
      <c r="T32" s="7">
        <v>10</v>
      </c>
      <c r="U32" s="7">
        <v>9</v>
      </c>
      <c r="V32" s="7">
        <v>8</v>
      </c>
      <c r="W32" s="8">
        <v>15</v>
      </c>
    </row>
    <row r="33" spans="2:23" x14ac:dyDescent="0.3">
      <c r="B33" s="15" t="s">
        <v>34</v>
      </c>
      <c r="C33">
        <v>0</v>
      </c>
      <c r="D33">
        <f>INDEX($Y2:$Y22, MATCH(D$32, $A2:$A22, 0))</f>
        <v>100</v>
      </c>
      <c r="E33">
        <f t="shared" ref="E33:W33" si="1">INDEX($Y2:$Y22, MATCH(E$32, $A2:$A22, 0))</f>
        <v>450</v>
      </c>
      <c r="F33">
        <f t="shared" si="1"/>
        <v>450</v>
      </c>
      <c r="G33">
        <f t="shared" si="1"/>
        <v>300</v>
      </c>
      <c r="H33">
        <f t="shared" si="1"/>
        <v>550</v>
      </c>
      <c r="I33">
        <f t="shared" si="1"/>
        <v>500</v>
      </c>
      <c r="J33">
        <f t="shared" si="1"/>
        <v>450</v>
      </c>
      <c r="K33">
        <f t="shared" si="1"/>
        <v>400</v>
      </c>
      <c r="L33">
        <f t="shared" si="1"/>
        <v>200</v>
      </c>
      <c r="M33">
        <f t="shared" si="1"/>
        <v>400</v>
      </c>
      <c r="N33">
        <f t="shared" si="1"/>
        <v>400</v>
      </c>
      <c r="O33">
        <f t="shared" si="1"/>
        <v>500</v>
      </c>
      <c r="P33">
        <f t="shared" si="1"/>
        <v>650</v>
      </c>
      <c r="Q33">
        <f t="shared" si="1"/>
        <v>600</v>
      </c>
      <c r="R33">
        <f t="shared" si="1"/>
        <v>1000</v>
      </c>
      <c r="S33">
        <f t="shared" si="1"/>
        <v>400</v>
      </c>
      <c r="T33">
        <f t="shared" si="1"/>
        <v>100</v>
      </c>
      <c r="U33">
        <f t="shared" si="1"/>
        <v>500</v>
      </c>
      <c r="V33">
        <f t="shared" si="1"/>
        <v>450</v>
      </c>
      <c r="W33" s="4">
        <f t="shared" si="1"/>
        <v>300</v>
      </c>
    </row>
    <row r="34" spans="2:23" x14ac:dyDescent="0.3">
      <c r="B34" s="15" t="s">
        <v>24</v>
      </c>
      <c r="C34">
        <f>IF(SUM($C33:C33) &gt; 5000, 0, SUM($C33:C33))</f>
        <v>0</v>
      </c>
      <c r="D34">
        <f>IF(SUM(C34+D33) &gt; 5000, D33, SUM(C34+D33))</f>
        <v>100</v>
      </c>
      <c r="E34">
        <f t="shared" ref="E34:W34" si="2">IF(SUM(D34+E33) &gt; 5000, E33, SUM(D34+E33))</f>
        <v>550</v>
      </c>
      <c r="F34">
        <f t="shared" si="2"/>
        <v>1000</v>
      </c>
      <c r="G34">
        <f t="shared" si="2"/>
        <v>1300</v>
      </c>
      <c r="H34">
        <f t="shared" si="2"/>
        <v>1850</v>
      </c>
      <c r="I34">
        <f t="shared" si="2"/>
        <v>2350</v>
      </c>
      <c r="J34">
        <f t="shared" si="2"/>
        <v>2800</v>
      </c>
      <c r="K34">
        <f t="shared" si="2"/>
        <v>3200</v>
      </c>
      <c r="L34">
        <f t="shared" si="2"/>
        <v>3400</v>
      </c>
      <c r="M34">
        <f t="shared" si="2"/>
        <v>3800</v>
      </c>
      <c r="N34">
        <f>IF(SUM(M34+N33) &gt; 5000, N33, SUM(M34+N33))</f>
        <v>4200</v>
      </c>
      <c r="O34">
        <f>IF(SUM(N34+O33) &gt; 5000, O33, SUM(N34+O33))</f>
        <v>4700</v>
      </c>
      <c r="P34">
        <f>IF(SUM(O34+P33) &gt; 5000, P33, SUM(O34+P33))</f>
        <v>650</v>
      </c>
      <c r="Q34">
        <f t="shared" si="2"/>
        <v>1250</v>
      </c>
      <c r="R34">
        <f t="shared" si="2"/>
        <v>2250</v>
      </c>
      <c r="S34">
        <f t="shared" si="2"/>
        <v>2650</v>
      </c>
      <c r="T34">
        <f t="shared" si="2"/>
        <v>2750</v>
      </c>
      <c r="U34">
        <f t="shared" si="2"/>
        <v>3250</v>
      </c>
      <c r="V34">
        <f t="shared" si="2"/>
        <v>3700</v>
      </c>
      <c r="W34" s="4">
        <f t="shared" si="2"/>
        <v>4000</v>
      </c>
    </row>
    <row r="35" spans="2:23" x14ac:dyDescent="0.3">
      <c r="B35" s="21" t="s">
        <v>35</v>
      </c>
      <c r="C35">
        <f>IF(SUM(W34+C33)&gt;5000,1,0)</f>
        <v>0</v>
      </c>
      <c r="D35">
        <f>IF(SUM(C34+D33)&gt;5000,1,0)</f>
        <v>0</v>
      </c>
      <c r="E35">
        <f t="shared" ref="E35:W35" si="3">IF(SUM(D34+E33)&gt;5000,1,0)</f>
        <v>0</v>
      </c>
      <c r="F35">
        <f t="shared" si="3"/>
        <v>0</v>
      </c>
      <c r="G35">
        <f t="shared" si="3"/>
        <v>0</v>
      </c>
      <c r="H35">
        <f t="shared" si="3"/>
        <v>0</v>
      </c>
      <c r="I35">
        <f t="shared" si="3"/>
        <v>0</v>
      </c>
      <c r="J35">
        <f t="shared" si="3"/>
        <v>0</v>
      </c>
      <c r="K35">
        <f t="shared" si="3"/>
        <v>0</v>
      </c>
      <c r="L35">
        <f t="shared" si="3"/>
        <v>0</v>
      </c>
      <c r="M35">
        <f t="shared" si="3"/>
        <v>0</v>
      </c>
      <c r="N35">
        <f t="shared" si="3"/>
        <v>0</v>
      </c>
      <c r="O35">
        <f t="shared" si="3"/>
        <v>0</v>
      </c>
      <c r="P35" s="17">
        <f t="shared" si="3"/>
        <v>1</v>
      </c>
      <c r="Q35">
        <f t="shared" si="3"/>
        <v>0</v>
      </c>
      <c r="R35">
        <f t="shared" si="3"/>
        <v>0</v>
      </c>
      <c r="S35">
        <f t="shared" si="3"/>
        <v>0</v>
      </c>
      <c r="T35">
        <f t="shared" si="3"/>
        <v>0</v>
      </c>
      <c r="U35">
        <f t="shared" si="3"/>
        <v>0</v>
      </c>
      <c r="V35">
        <f t="shared" si="3"/>
        <v>0</v>
      </c>
      <c r="W35" s="4">
        <f t="shared" si="3"/>
        <v>0</v>
      </c>
    </row>
    <row r="36" spans="2:23" x14ac:dyDescent="0.3">
      <c r="B36" s="15" t="s">
        <v>30</v>
      </c>
      <c r="C36" cm="1">
        <f t="array" ref="C36">INDEX($C2:$X22,W32,C32)</f>
        <v>7.1776109596434816</v>
      </c>
      <c r="D36" cm="1">
        <f t="array" ref="D36">IF(D35=1,INDEX($C2:$X22,C32,$C32)+INDEX($C2:$X22,$C32,D32),INDEX($C2:$X22,D32,C32))</f>
        <v>23.176490196758618</v>
      </c>
      <c r="E36" cm="1">
        <f t="array" ref="E36">IF(E35=1,INDEX($C2:$X22,D32,$C32)+INDEX($C2:$X22,$C32,E32),INDEX($C2:$X22,E32,D32))</f>
        <v>4.386583733889502</v>
      </c>
      <c r="F36" cm="1">
        <f t="array" ref="F36">IF(F35=1,INDEX($C2:$X22,E32,$C32)+INDEX($C2:$X22,$C32,F32),INDEX($C2:$X22,F32,E32))</f>
        <v>5.0610592415692341</v>
      </c>
      <c r="G36" cm="1">
        <f t="array" ref="G36">IF(G35=1,INDEX($C2:$X22,F32,$C32)+INDEX($C2:$X22,$C32,G32),INDEX($C2:$X22,G32,F32))</f>
        <v>6.2057914392684497</v>
      </c>
      <c r="H36" cm="1">
        <f t="array" ref="H36">IF(H35=1,INDEX($C2:$X22,G32,$C32)+INDEX($C2:$X22,$C32,H32),INDEX($C2:$X22,H32,G32))</f>
        <v>8.1027501881731414</v>
      </c>
      <c r="I36" cm="1">
        <f t="array" ref="I36">IF(I35=1,INDEX($C2:$X22,H32,$C32)+INDEX($C2:$X22,$C32,I32),INDEX($C2:$X22,I32,H32))</f>
        <v>5.5246984324200143</v>
      </c>
      <c r="J36" cm="1">
        <f t="array" ref="J36">IF(J35=1,INDEX($C2:$X22,I32,$C32)+INDEX($C2:$X22,$C32,J32),INDEX($C2:$X22,J32,I32))</f>
        <v>1.0410813522975555</v>
      </c>
      <c r="K36" cm="1">
        <f t="array" ref="K36">IF(K35=1,INDEX($C2:$X22,J32,$C32)+INDEX($C2:$X22,$C32,K32),INDEX($C2:$X22,K32,J32))</f>
        <v>2.5989370340338684</v>
      </c>
      <c r="L36" cm="1">
        <f t="array" ref="L36">IF(L35=1,INDEX($C2:$X22,K32,$C32)+INDEX($C2:$X22,$C32,L32),INDEX($C2:$X22,L32,K32))</f>
        <v>6.774377191613639</v>
      </c>
      <c r="M36" cm="1">
        <f t="array" ref="M36">IF(M35=1,INDEX($C2:$X22,L32,$C32)+INDEX($C2:$X22,$C32,M32),INDEX($C2:$X22,M32,L32))</f>
        <v>7.4442722170649018</v>
      </c>
      <c r="N36" cm="1">
        <f t="array" ref="N36">IF(N35=1,INDEX($C2:$X22,M32,$C32)+INDEX($C2:$X22,$C32,N32),INDEX($C2:$X22,N32,M32))</f>
        <v>0.48406166722202798</v>
      </c>
      <c r="O36" cm="1">
        <f t="array" ref="O36">IF(O35=1,INDEX($C2:$X22,N32,$C32)+INDEX($C2:$X22,$C32,O32),INDEX($C2:$X22,O32,N32))</f>
        <v>10.945971353193825</v>
      </c>
      <c r="P36" cm="1">
        <f t="array" ref="P36">IF(P35=1,INDEX($C2:$X22,O32,$C32)+INDEX($C2:$X22,$C32,P32),INDEX($C2:$X22,P32,O32))</f>
        <v>26.950497288167412</v>
      </c>
      <c r="Q36" cm="1">
        <f t="array" ref="Q36">IF(Q35=1,INDEX($C2:$X22,P32,$C32)+INDEX($C2:$X22,$C32,Q32),INDEX($C2:$X22,Q32,P32))</f>
        <v>0.94791679271287244</v>
      </c>
      <c r="R36" cm="1">
        <f t="array" ref="R36">IF(R35=1,INDEX($C2:$X22,Q32,$C32)+INDEX($C2:$X22,$C32,R32),INDEX($C2:$X22,R32,Q32))</f>
        <v>1.6449519421197208E-2</v>
      </c>
      <c r="S36" cm="1">
        <f t="array" ref="S36">IF(S35=1,INDEX($C2:$X22,R32,$C32)+INDEX($C2:$X22,$C32,S32),INDEX($C2:$X22,S32,R32))</f>
        <v>1.1253490213107331</v>
      </c>
      <c r="T36" cm="1">
        <f t="array" ref="T36">IF(T35=1,INDEX($C2:$X22,S32,$C32)+INDEX($C2:$X22,$C32,T32),INDEX($C2:$X22,T32,S32))</f>
        <v>2.2763486757032503</v>
      </c>
      <c r="U36" cm="1">
        <f t="array" ref="U36">IF(U35=1,INDEX($C2:$X22,T32,$C32)+INDEX($C2:$X22,$C32,U32),INDEX($C2:$X22,U32,T32))</f>
        <v>0.29041509883399008</v>
      </c>
      <c r="V36" cm="1">
        <f t="array" ref="V36">IF(V35=1,INDEX($C2:$X22,U32,$C32)+INDEX($C2:$X22,$C32,V32),INDEX($C2:$X22,V32,U32))</f>
        <v>0.54216795577182053</v>
      </c>
      <c r="W36" s="4" cm="1">
        <f t="array" ref="W36">IF(W35=1,INDEX($C2:$X22,V32,$C32)+INDEX($C2:$X22,$C32,W32),INDEX($C2:$X22,W32,V32))</f>
        <v>13.188803927495597</v>
      </c>
    </row>
    <row r="37" spans="2:23" x14ac:dyDescent="0.3">
      <c r="B37" s="15"/>
      <c r="W37" s="4"/>
    </row>
    <row r="38" spans="2:23" x14ac:dyDescent="0.3">
      <c r="B38" s="15" t="s">
        <v>32</v>
      </c>
      <c r="W38" s="4"/>
    </row>
    <row r="39" spans="2:23" x14ac:dyDescent="0.3">
      <c r="B39" s="19" t="s">
        <v>33</v>
      </c>
      <c r="C39" s="22">
        <f>SUM(C36:W36)</f>
        <v>134.26163328656514</v>
      </c>
      <c r="W39" s="4"/>
    </row>
    <row r="40" spans="2:23" x14ac:dyDescent="0.3">
      <c r="B40" s="15" t="s">
        <v>23</v>
      </c>
      <c r="C40">
        <v>1</v>
      </c>
      <c r="D40">
        <f>IF(C40=C32,1,0)</f>
        <v>1</v>
      </c>
      <c r="W40" s="4"/>
    </row>
    <row r="41" spans="2:23" x14ac:dyDescent="0.3">
      <c r="B41" s="1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6"/>
    </row>
    <row r="43" spans="2:23" x14ac:dyDescent="0.3">
      <c r="O43" s="2"/>
    </row>
    <row r="45" spans="2:23" x14ac:dyDescent="0.3">
      <c r="C45">
        <v>1</v>
      </c>
      <c r="D45">
        <v>2</v>
      </c>
      <c r="E45">
        <v>3</v>
      </c>
      <c r="F45">
        <v>19</v>
      </c>
      <c r="G45">
        <v>20</v>
      </c>
      <c r="H45">
        <v>21</v>
      </c>
      <c r="I45">
        <v>16</v>
      </c>
      <c r="J45">
        <v>18</v>
      </c>
      <c r="K45">
        <v>17</v>
      </c>
      <c r="L45">
        <v>6</v>
      </c>
      <c r="M45">
        <v>7</v>
      </c>
      <c r="N45">
        <v>10</v>
      </c>
      <c r="O45">
        <v>9</v>
      </c>
      <c r="P45">
        <v>8</v>
      </c>
      <c r="Q45">
        <v>14</v>
      </c>
      <c r="R45">
        <v>13</v>
      </c>
      <c r="S45">
        <v>12</v>
      </c>
      <c r="T45">
        <v>11</v>
      </c>
      <c r="U45">
        <v>4</v>
      </c>
      <c r="V45">
        <v>5</v>
      </c>
      <c r="W45">
        <v>15</v>
      </c>
    </row>
    <row r="46" spans="2:23" x14ac:dyDescent="0.3">
      <c r="C46" s="24" cm="1">
        <f t="array" ref="C46">INDEX(C2:W22,W45,C45)</f>
        <v>7.1776109596434816</v>
      </c>
      <c r="D46" cm="1">
        <f t="array" ref="D46">INDEX($C2:$W22,D45,C45)</f>
        <v>9.1719861832773262</v>
      </c>
      <c r="E46" cm="1">
        <f t="array" ref="E46">INDEX($C2:$W22,E45,D45)</f>
        <v>10.551031715150282</v>
      </c>
      <c r="F46" cm="1">
        <f t="array" ref="F46">INDEX($C2:$W22,F45,E45)</f>
        <v>6.774377191613639</v>
      </c>
      <c r="G46" cm="1">
        <f t="array" ref="G46">INDEX($C2:$W22,G45,F45)</f>
        <v>2.5989370340338684</v>
      </c>
      <c r="H46" cm="1">
        <f t="array" ref="H46">INDEX($C2:$W22,H45,G45)</f>
        <v>1.0410813522975555</v>
      </c>
      <c r="I46" cm="1">
        <f t="array" ref="I46">INDEX($C2:$W22,I45,H45)</f>
        <v>5.5246984324200143</v>
      </c>
      <c r="J46" cm="1">
        <f t="array" ref="J46">INDEX($C2:$W22,J45,I45)</f>
        <v>8.1027501881731414</v>
      </c>
      <c r="K46" cm="1">
        <f t="array" ref="K46">INDEX($C2:$W22,K45,J45)</f>
        <v>6.2057914392684497</v>
      </c>
      <c r="L46" cm="1">
        <f t="array" ref="L46">INDEX($C2:$W22,L45,K45)</f>
        <v>5.5613424419955271</v>
      </c>
      <c r="M46" cm="1">
        <f t="array" ref="M46">INDEX($C2:$W22,M45,L45)</f>
        <v>4.386583733889502</v>
      </c>
      <c r="N46" cm="1">
        <f t="array" ref="N46">INDEX($C2:$W22,N45,M45)</f>
        <v>5.4431065580635067</v>
      </c>
      <c r="O46" cm="1">
        <f t="array" ref="O46">INDEX($C2:$W22,O45,N45)</f>
        <v>0.29041509883399008</v>
      </c>
      <c r="P46" cm="1">
        <f t="array" ref="P46">INDEX($C2:$W22,P45,O45)</f>
        <v>0.54216795577182053</v>
      </c>
      <c r="Q46" cm="1">
        <f t="array" ref="Q46">INDEX($C2:$W22,Q45,P45)</f>
        <v>1.6433838970327694</v>
      </c>
      <c r="R46" cm="1">
        <f t="array" ref="R46">INDEX($C2:$W22,R45,Q45)</f>
        <v>1.1253490213107331</v>
      </c>
      <c r="S46" cm="1">
        <f t="array" ref="S46">INDEX($C2:$W22,S45,R45)</f>
        <v>1.6449519421197208E-2</v>
      </c>
      <c r="T46" cm="1">
        <f t="array" ref="T46">INDEX($C2:$W22,T45,S45)</f>
        <v>0.94791679271287244</v>
      </c>
      <c r="U46" cm="1">
        <f t="array" ref="U46">INDEX($C2:$W22,U45,T45)</f>
        <v>4.7061249046713112</v>
      </c>
      <c r="V46" cm="1">
        <f t="array" ref="V46">INDEX($C2:$W22,V45,U45)</f>
        <v>0.48406166722202798</v>
      </c>
      <c r="W46" cm="1">
        <f t="array" ref="W46">INDEX($C2:$W22,W45,V45)</f>
        <v>11.645052004429786</v>
      </c>
    </row>
    <row r="50" spans="2:3" x14ac:dyDescent="0.3">
      <c r="B50" s="9" t="s">
        <v>36</v>
      </c>
      <c r="C50" s="3">
        <f>SUM(C46:W46)</f>
        <v>93.940218091232794</v>
      </c>
    </row>
    <row r="52" spans="2:3" x14ac:dyDescent="0.3">
      <c r="C52">
        <f>IF(C45=1,1,0)</f>
        <v>1</v>
      </c>
    </row>
    <row r="1048551" spans="16384:16384" x14ac:dyDescent="0.3">
      <c r="XFD1048551" cm="1">
        <f t="array" ref="XFD1048551">solver_pre</f>
        <v>9.9999999999999995E-7</v>
      </c>
    </row>
    <row r="1048552" spans="16384:16384" x14ac:dyDescent="0.3">
      <c r="XFD1048552" cm="1">
        <f t="array" ref="XFD1048552">solver_scl</f>
        <v>1</v>
      </c>
    </row>
    <row r="1048553" spans="16384:16384" x14ac:dyDescent="0.3">
      <c r="XFD1048553" cm="1">
        <f t="array" ref="XFD1048553">solver_rlx</f>
        <v>2</v>
      </c>
    </row>
    <row r="1048554" spans="16384:16384" x14ac:dyDescent="0.3">
      <c r="XFD1048554" cm="1">
        <f t="array" ref="XFD1048554">solver_tol</f>
        <v>0.01</v>
      </c>
    </row>
    <row r="1048555" spans="16384:16384" x14ac:dyDescent="0.3">
      <c r="XFD1048555" cm="1">
        <f t="array" ref="XFD1048555">solver_cvg</f>
        <v>1E-4</v>
      </c>
    </row>
    <row r="1048556" spans="16384:16384" x14ac:dyDescent="0.3">
      <c r="XFD1048556" t="e" cm="1">
        <f t="array" ref="XFD1048556">AREAS(solver_adj1)</f>
        <v>#NAME?</v>
      </c>
    </row>
    <row r="1048557" spans="16384:16384" x14ac:dyDescent="0.3">
      <c r="XFD1048557" cm="1">
        <f t="array" ref="XFD1048557">solver_ssz</f>
        <v>100</v>
      </c>
    </row>
    <row r="1048558" spans="16384:16384" x14ac:dyDescent="0.3">
      <c r="XFD1048558" cm="1">
        <f t="array" ref="XFD1048558">solver_rsd</f>
        <v>0</v>
      </c>
    </row>
    <row r="1048559" spans="16384:16384" x14ac:dyDescent="0.3">
      <c r="XFD1048559" cm="1">
        <f t="array" ref="XFD1048559">solver_mrt</f>
        <v>7.4999999999999997E-2</v>
      </c>
    </row>
    <row r="1048560" spans="16384:16384" x14ac:dyDescent="0.3">
      <c r="XFD1048560" cm="1">
        <f t="array" ref="XFD1048560">solver_mni</f>
        <v>45</v>
      </c>
    </row>
    <row r="1048561" spans="16384:16384" x14ac:dyDescent="0.3">
      <c r="XFD1048561" cm="1">
        <f t="array" ref="XFD1048561">solver_rbv</f>
        <v>1</v>
      </c>
    </row>
    <row r="1048562" spans="16384:16384" x14ac:dyDescent="0.3">
      <c r="XFD1048562" cm="1">
        <f t="array" ref="XFD1048562">solver_neg</f>
        <v>1</v>
      </c>
    </row>
    <row r="1048563" spans="16384:16384" x14ac:dyDescent="0.3">
      <c r="XFD1048563" t="e" cm="1">
        <f t="array" ref="XFD1048563">solver_ntr</f>
        <v>#NAME?</v>
      </c>
    </row>
    <row r="1048564" spans="16384:16384" x14ac:dyDescent="0.3">
      <c r="XFD1048564" t="e" cm="1">
        <f t="array" ref="XFD1048564">solver_acc</f>
        <v>#NAME?</v>
      </c>
    </row>
    <row r="1048565" spans="16384:16384" x14ac:dyDescent="0.3">
      <c r="XFD1048565" t="e" cm="1">
        <f t="array" ref="XFD1048565">solver_res</f>
        <v>#NAME?</v>
      </c>
    </row>
    <row r="1048566" spans="16384:16384" x14ac:dyDescent="0.3">
      <c r="XFD1048566" t="e" cm="1">
        <f t="array" ref="XFD1048566">solver_ars</f>
        <v>#NAME?</v>
      </c>
    </row>
    <row r="1048567" spans="16384:16384" x14ac:dyDescent="0.3">
      <c r="XFD1048567" t="e" cm="1">
        <f t="array" ref="XFD1048567">solver_sta</f>
        <v>#NAME?</v>
      </c>
    </row>
    <row r="1048568" spans="16384:16384" x14ac:dyDescent="0.3">
      <c r="XFD1048568" t="e" cm="1">
        <f t="array" ref="XFD1048568">solver_met</f>
        <v>#NAME?</v>
      </c>
    </row>
    <row r="1048569" spans="16384:16384" x14ac:dyDescent="0.3">
      <c r="XFD1048569" t="e" cm="1">
        <f t="array" ref="XFD1048569">solver_soc</f>
        <v>#NAME?</v>
      </c>
    </row>
    <row r="1048570" spans="16384:16384" x14ac:dyDescent="0.3">
      <c r="XFD1048570" t="e" cm="1">
        <f t="array" ref="XFD1048570">solver_lpt</f>
        <v>#NAME?</v>
      </c>
    </row>
    <row r="1048571" spans="16384:16384" x14ac:dyDescent="0.3">
      <c r="XFD1048571" t="e" cm="1">
        <f t="array" ref="XFD1048571">solver_lpp</f>
        <v>#NAME?</v>
      </c>
    </row>
    <row r="1048572" spans="16384:16384" x14ac:dyDescent="0.3">
      <c r="XFD1048572" t="e" cm="1">
        <f t="array" ref="XFD1048572">solver_gap</f>
        <v>#NAME?</v>
      </c>
    </row>
    <row r="1048573" spans="16384:16384" x14ac:dyDescent="0.3">
      <c r="XFD1048573" t="e" cm="1">
        <f t="array" ref="XFD1048573">solver_ips</f>
        <v>#NAME?</v>
      </c>
    </row>
    <row r="1048574" spans="16384:16384" x14ac:dyDescent="0.3">
      <c r="XFD1048574" t="e" cm="1">
        <f t="array" ref="XFD1048574">solver_fea</f>
        <v>#NAME?</v>
      </c>
    </row>
    <row r="1048575" spans="16384:16384" x14ac:dyDescent="0.3">
      <c r="XFD1048575" t="e" cm="1">
        <f t="array" ref="XFD1048575">solver_ipi</f>
        <v>#NAME?</v>
      </c>
    </row>
    <row r="1048576" spans="16384:16384" x14ac:dyDescent="0.3">
      <c r="XFD1048576" t="e" cm="1">
        <f t="array" ref="XFD1048576">solver_ipd</f>
        <v>#NAME?</v>
      </c>
    </row>
  </sheetData>
  <scenarios current="0">
    <scenario name="where 1 distance was 0" count="21" user="Dell" comment="Created by Dell on 9/25/2024">
      <inputCells r="C24" val="1"/>
      <inputCells r="D24" val="15"/>
      <inputCells r="E24" val="2"/>
      <inputCells r="F24" val="3"/>
      <inputCells r="G24" val="19"/>
      <inputCells r="H24" val="20"/>
      <inputCells r="I24" val="16"/>
      <inputCells r="J24" val="18"/>
      <inputCells r="K24" val="17"/>
      <inputCells r="L24" val="6"/>
      <inputCells r="M24" val="7"/>
      <inputCells r="N24" val="9"/>
      <inputCells r="O24" val="8"/>
      <inputCells r="P24" val="10"/>
      <inputCells r="Q24" val="14"/>
      <inputCells r="R24" val="13"/>
      <inputCells r="S24" val="12"/>
      <inputCells r="T24" val="11"/>
      <inputCells r="U24" val="4"/>
      <inputCells r="V24" val="5"/>
      <inputCells r="W24" val="1"/>
    </scenario>
  </scenarios>
  <conditionalFormatting sqref="C1:W1">
    <cfRule type="colorScale" priority="2">
      <colorScale>
        <cfvo type="min"/>
        <cfvo type="percent" val="50"/>
        <cfvo type="max"/>
        <color rgb="FF008000"/>
        <color rgb="FFFFFF00"/>
        <color rgb="FFFF0000"/>
      </colorScale>
    </cfRule>
  </conditionalFormatting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E64FBFD-F828-421B-BF31-BD443F1458AA}">
          <xm:f>Workings!$C$24:$W$24</xm:f>
        </x15:webExtension>
        <x15:webExtension appRef="{3110FD7F-9661-4D8E-A0BA-34AF60ED2AB0}">
          <xm:f>Workings!1:1048576</xm:f>
        </x15:webExtension>
        <x15:webExtension appRef="{B1D4B12A-A603-4987-9E0E-590590A2356D}">
          <xm:f>Workings!XFD1048551:XFD1048576</xm:f>
        </x15:webExtension>
        <x15:webExtension appRef="{7CBA811E-A77A-456E-A0BD-49BE7EDC2FA3}">
          <xm:f>Workings!$C$24:$W$24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5"/>
  <sheetViews>
    <sheetView tabSelected="1" workbookViewId="0">
      <selection activeCell="A2" sqref="A2"/>
    </sheetView>
  </sheetViews>
  <sheetFormatPr defaultRowHeight="15.6" x14ac:dyDescent="0.3"/>
  <cols>
    <col min="2" max="2" width="15.59765625" customWidth="1"/>
  </cols>
  <sheetData>
    <row r="2" spans="1:14" x14ac:dyDescent="0.3">
      <c r="A2" s="29" t="s">
        <v>39</v>
      </c>
      <c r="B2" s="29"/>
      <c r="C2" s="29"/>
      <c r="D2" s="29"/>
      <c r="E2" s="28"/>
    </row>
    <row r="3" spans="1:14" x14ac:dyDescent="0.3">
      <c r="A3" s="30" t="s">
        <v>40</v>
      </c>
      <c r="B3" s="30" t="s">
        <v>41</v>
      </c>
      <c r="C3" s="30" t="s">
        <v>42</v>
      </c>
      <c r="D3" s="30" t="s">
        <v>43</v>
      </c>
      <c r="E3" s="28"/>
    </row>
    <row r="4" spans="1:14" x14ac:dyDescent="0.3">
      <c r="A4" s="30">
        <v>1</v>
      </c>
      <c r="B4" s="30" t="s">
        <v>0</v>
      </c>
      <c r="C4" s="30">
        <v>7.1776109596455804</v>
      </c>
      <c r="D4" s="30">
        <v>7.1776109596455804</v>
      </c>
      <c r="E4" s="28"/>
    </row>
    <row r="5" spans="1:14" x14ac:dyDescent="0.3">
      <c r="A5" s="30">
        <v>6</v>
      </c>
      <c r="B5" s="30" t="s">
        <v>8</v>
      </c>
      <c r="C5" s="30">
        <v>23.176490196758301</v>
      </c>
      <c r="D5" s="30">
        <f>D4+C5</f>
        <v>30.354101156403882</v>
      </c>
      <c r="E5" s="28"/>
    </row>
    <row r="6" spans="1:14" x14ac:dyDescent="0.3">
      <c r="A6" s="30">
        <v>7</v>
      </c>
      <c r="B6" s="30" t="s">
        <v>5</v>
      </c>
      <c r="C6" s="30">
        <v>4.3865837338889904</v>
      </c>
      <c r="D6" s="30">
        <f>D5+C6</f>
        <v>34.740684890292869</v>
      </c>
      <c r="E6" s="28"/>
    </row>
    <row r="7" spans="1:14" x14ac:dyDescent="0.3">
      <c r="A7" s="30">
        <v>17</v>
      </c>
      <c r="B7" s="30" t="s">
        <v>16</v>
      </c>
      <c r="C7" s="30">
        <v>5.0610592415669302</v>
      </c>
      <c r="D7" s="30">
        <f>D6+C7</f>
        <v>39.801744131859799</v>
      </c>
      <c r="E7" s="28"/>
    </row>
    <row r="8" spans="1:14" x14ac:dyDescent="0.3">
      <c r="A8" s="30">
        <v>18</v>
      </c>
      <c r="B8" s="30" t="s">
        <v>17</v>
      </c>
      <c r="C8" s="30">
        <v>6.2057914392674798</v>
      </c>
      <c r="D8" s="30">
        <f>D7+C8</f>
        <v>46.007535571127278</v>
      </c>
      <c r="E8" s="28"/>
    </row>
    <row r="9" spans="1:14" x14ac:dyDescent="0.3">
      <c r="A9" s="30">
        <v>16</v>
      </c>
      <c r="B9" s="30" t="s">
        <v>15</v>
      </c>
      <c r="C9" s="30">
        <v>8.1027501881797903</v>
      </c>
      <c r="D9" s="30">
        <f>D8+C9</f>
        <v>54.110285759307068</v>
      </c>
      <c r="E9" s="28"/>
    </row>
    <row r="10" spans="1:14" x14ac:dyDescent="0.3">
      <c r="A10" s="30">
        <v>21</v>
      </c>
      <c r="B10" s="30" t="s">
        <v>19</v>
      </c>
      <c r="C10" s="30">
        <v>5.5246984324224</v>
      </c>
      <c r="D10" s="30">
        <f>D9+C10</f>
        <v>59.634984191729465</v>
      </c>
      <c r="E10" s="28"/>
      <c r="N10">
        <f>SUM($L$4:L4)</f>
        <v>0</v>
      </c>
    </row>
    <row r="11" spans="1:14" x14ac:dyDescent="0.3">
      <c r="A11" s="30">
        <v>20</v>
      </c>
      <c r="B11" s="30" t="s">
        <v>18</v>
      </c>
      <c r="C11" s="30">
        <v>1.0410813522924101</v>
      </c>
      <c r="D11" s="30">
        <f>D10+C11</f>
        <v>60.676065544021874</v>
      </c>
      <c r="E11" s="28"/>
    </row>
    <row r="12" spans="1:14" x14ac:dyDescent="0.3">
      <c r="A12" s="30">
        <v>19</v>
      </c>
      <c r="B12" s="30" t="s">
        <v>44</v>
      </c>
      <c r="C12" s="30">
        <v>2.5989370340348601</v>
      </c>
      <c r="D12" s="30">
        <f>D11+C12</f>
        <v>63.275002578056736</v>
      </c>
      <c r="E12" s="28"/>
    </row>
    <row r="13" spans="1:14" x14ac:dyDescent="0.3">
      <c r="A13" s="30">
        <v>3</v>
      </c>
      <c r="B13" s="30" t="s">
        <v>2</v>
      </c>
      <c r="C13" s="30">
        <v>6.7743771916114701</v>
      </c>
      <c r="D13" s="30">
        <f>D12+C13</f>
        <v>70.049379769668207</v>
      </c>
      <c r="E13" s="28"/>
    </row>
    <row r="14" spans="1:14" x14ac:dyDescent="0.3">
      <c r="A14" s="30">
        <v>4</v>
      </c>
      <c r="B14" s="30" t="s">
        <v>3</v>
      </c>
      <c r="C14" s="30">
        <v>7.4442722170676703</v>
      </c>
      <c r="D14" s="30">
        <f>D13+C14</f>
        <v>77.49365198673587</v>
      </c>
      <c r="E14" s="28"/>
    </row>
    <row r="15" spans="1:14" x14ac:dyDescent="0.3">
      <c r="A15" s="30">
        <v>5</v>
      </c>
      <c r="B15" s="30" t="s">
        <v>4</v>
      </c>
      <c r="C15" s="30">
        <v>0.48406166722445498</v>
      </c>
      <c r="D15" s="30">
        <f>D14+C15</f>
        <v>77.977713653960322</v>
      </c>
      <c r="E15" s="28"/>
    </row>
    <row r="16" spans="1:14" x14ac:dyDescent="0.3">
      <c r="A16" s="30">
        <v>2</v>
      </c>
      <c r="B16" s="30" t="s">
        <v>1</v>
      </c>
      <c r="C16" s="30">
        <v>10.945971353193</v>
      </c>
      <c r="D16" s="30">
        <f>D15+C16</f>
        <v>88.923685007153324</v>
      </c>
      <c r="E16" s="28"/>
    </row>
    <row r="17" spans="1:5" x14ac:dyDescent="0.3">
      <c r="A17" s="31">
        <v>1</v>
      </c>
      <c r="B17" s="31" t="s">
        <v>0</v>
      </c>
      <c r="C17" s="31">
        <v>9.1719861832781806</v>
      </c>
      <c r="D17" s="30">
        <f>D16+C17</f>
        <v>98.095671190431503</v>
      </c>
      <c r="E17" s="24" t="s">
        <v>45</v>
      </c>
    </row>
    <row r="18" spans="1:5" x14ac:dyDescent="0.3">
      <c r="A18" s="30">
        <v>11</v>
      </c>
      <c r="B18" s="30" t="s">
        <v>10</v>
      </c>
      <c r="C18" s="30">
        <v>17.778511104895099</v>
      </c>
      <c r="D18" s="30">
        <f>D17+C18</f>
        <v>115.87418229532661</v>
      </c>
      <c r="E18" s="28"/>
    </row>
    <row r="19" spans="1:5" x14ac:dyDescent="0.3">
      <c r="A19" s="30">
        <v>12</v>
      </c>
      <c r="B19" s="30" t="s">
        <v>11</v>
      </c>
      <c r="C19" s="30">
        <v>0.947916792707161</v>
      </c>
      <c r="D19" s="30">
        <f>D18+C19</f>
        <v>116.82209908803377</v>
      </c>
      <c r="E19" s="28"/>
    </row>
    <row r="20" spans="1:5" x14ac:dyDescent="0.3">
      <c r="A20" s="30">
        <v>13</v>
      </c>
      <c r="B20" s="30" t="s">
        <v>12</v>
      </c>
      <c r="C20" s="30">
        <v>1.6449519422303899E-2</v>
      </c>
      <c r="D20" s="30">
        <f>D19+C20</f>
        <v>116.83854860745608</v>
      </c>
      <c r="E20" s="28"/>
    </row>
    <row r="21" spans="1:5" x14ac:dyDescent="0.3">
      <c r="A21" s="30">
        <v>14</v>
      </c>
      <c r="B21" s="30" t="s">
        <v>13</v>
      </c>
      <c r="C21" s="30">
        <v>1.1253490213107999</v>
      </c>
      <c r="D21" s="30">
        <f>D20+C21</f>
        <v>117.96389762876687</v>
      </c>
      <c r="E21" s="28"/>
    </row>
    <row r="22" spans="1:5" x14ac:dyDescent="0.3">
      <c r="A22" s="30">
        <v>10</v>
      </c>
      <c r="B22" s="30" t="s">
        <v>9</v>
      </c>
      <c r="C22" s="30">
        <v>2.27634867570139</v>
      </c>
      <c r="D22" s="30">
        <f>D21+C22</f>
        <v>120.24024630446826</v>
      </c>
      <c r="E22" s="28"/>
    </row>
    <row r="23" spans="1:5" x14ac:dyDescent="0.3">
      <c r="A23" s="30">
        <v>9</v>
      </c>
      <c r="B23" s="30" t="s">
        <v>7</v>
      </c>
      <c r="C23" s="30">
        <v>0.29041509883276401</v>
      </c>
      <c r="D23" s="30">
        <f>D22+C23</f>
        <v>120.53066140330102</v>
      </c>
      <c r="E23" s="28"/>
    </row>
    <row r="24" spans="1:5" x14ac:dyDescent="0.3">
      <c r="A24" s="30">
        <v>8</v>
      </c>
      <c r="B24" s="30" t="s">
        <v>6</v>
      </c>
      <c r="C24" s="30">
        <v>0.54216795577505394</v>
      </c>
      <c r="D24" s="30">
        <f>D23+C24</f>
        <v>121.07282935907608</v>
      </c>
      <c r="E24" s="28"/>
    </row>
    <row r="25" spans="1:5" x14ac:dyDescent="0.3">
      <c r="A25" s="30">
        <v>15</v>
      </c>
      <c r="B25" s="30" t="s">
        <v>14</v>
      </c>
      <c r="C25" s="30">
        <v>13.1888039274949</v>
      </c>
      <c r="D25" s="30">
        <f>D24+C25</f>
        <v>134.26163328657097</v>
      </c>
      <c r="E25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Workings</vt:lpstr>
      <vt:lpstr>Final 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mahakalanda</dc:creator>
  <cp:lastModifiedBy>Ran Akka</cp:lastModifiedBy>
  <dcterms:created xsi:type="dcterms:W3CDTF">2024-09-15T02:35:11Z</dcterms:created>
  <dcterms:modified xsi:type="dcterms:W3CDTF">2024-09-27T19:04:08Z</dcterms:modified>
</cp:coreProperties>
</file>